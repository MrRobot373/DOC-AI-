
<file path=[Content_Types].xml><?xml version="1.0" encoding="utf-8"?>
<Types xmlns="http://schemas.openxmlformats.org/package/2006/content-types">
  <Default Extension="xml" ContentType="application/xml"/>
  <Default Extension="wmf" ContentType="image/x-wmf"/>
  <Default Extension="emf" ContentType="image/x-emf"/>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0" windowHeight="9500"/>
  </bookViews>
  <sheets>
    <sheet name="Sheet1" sheetId="1" r:id="rId1"/>
    <sheet name="Sheet2" sheetId="2" r:id="rId2"/>
    <sheet name="3.1" sheetId="3" r:id="rId3"/>
    <sheet name="Sheet3" sheetId="4" r:id="rId4"/>
    <sheet name="No36" sheetId="5" r:id="rId5"/>
    <sheet name="Sheet4" sheetId="6" r:id="rId6"/>
  </sheets>
  <definedNames>
    <definedName name="_xlnm._FilterDatabase" localSheetId="0" hidden="1">Sheet1!$I$1:$I$85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<sst xmlns="http://schemas.openxmlformats.org/spreadsheetml/2006/main" count="620" uniqueCount="318">
  <si>
    <t>No</t>
  </si>
  <si>
    <t>Page</t>
  </si>
  <si>
    <r>
      <rPr>
        <sz val="11"/>
        <color theme="1"/>
        <rFont val="Meiryo UI"/>
        <charset val="134"/>
      </rPr>
      <t xml:space="preserve">対象
</t>
    </r>
    <r>
      <rPr>
        <sz val="11"/>
        <color rgb="FF0070C0"/>
        <rFont val="Meiryo UI"/>
        <charset val="134"/>
      </rPr>
      <t>Applied to</t>
    </r>
  </si>
  <si>
    <r>
      <rPr>
        <sz val="11"/>
        <color theme="1"/>
        <rFont val="MS Gothic"/>
        <charset val="134"/>
      </rPr>
      <t>コメント</t>
    </r>
    <r>
      <rPr>
        <sz val="11"/>
        <color theme="1"/>
        <rFont val="Meiryo UI"/>
        <charset val="134"/>
      </rPr>
      <t xml:space="preserve">
</t>
    </r>
    <r>
      <rPr>
        <sz val="11"/>
        <color rgb="FF0070C0"/>
        <rFont val="Meiryo UI"/>
        <charset val="134"/>
      </rPr>
      <t>Comments</t>
    </r>
  </si>
  <si>
    <t>Rank</t>
  </si>
  <si>
    <t>Date</t>
  </si>
  <si>
    <t>TICO</t>
  </si>
  <si>
    <t>Response</t>
  </si>
  <si>
    <t>回答</t>
  </si>
  <si>
    <t>ALL</t>
  </si>
  <si>
    <r>
      <rPr>
        <sz val="11"/>
        <color theme="1"/>
        <rFont val="Meiryo UI"/>
        <charset val="134"/>
      </rPr>
      <t xml:space="preserve">Test resultには期待値、測定値、判定の項目が欲しいです。
</t>
    </r>
    <r>
      <rPr>
        <sz val="11"/>
        <color rgb="FF0070C0"/>
        <rFont val="Meiryo UI"/>
        <charset val="134"/>
      </rPr>
      <t>Needs criteria, result (actual measurement) and judgement for Test Result.</t>
    </r>
  </si>
  <si>
    <t>-</t>
  </si>
  <si>
    <t>Konno</t>
  </si>
  <si>
    <t>Report modified with actual results with proper test sequence.</t>
  </si>
  <si>
    <t>実際の結果と適切なテスト手順でレポートを修正しました。</t>
  </si>
  <si>
    <r>
      <rPr>
        <sz val="11"/>
        <color theme="1"/>
        <rFont val="Meiryo UI"/>
        <charset val="134"/>
      </rPr>
      <t xml:space="preserve">波形には取得信号名やピンNoなど何のデータかわかる説明を凡例等で表示してください。
</t>
    </r>
    <r>
      <rPr>
        <sz val="11"/>
        <color rgb="FF0070C0"/>
        <rFont val="Meiryo UI"/>
        <charset val="134"/>
      </rPr>
      <t>Need to have description like the name of signal, pin number for all waveform.</t>
    </r>
  </si>
  <si>
    <t xml:space="preserve">Updated description and sufficient information provided itself in figures. </t>
  </si>
  <si>
    <t>説明を更新し、図中に十分な情報を記載しました。</t>
  </si>
  <si>
    <r>
      <rPr>
        <sz val="11"/>
        <color theme="1"/>
        <rFont val="Meiryo UI"/>
        <charset val="134"/>
      </rPr>
      <t xml:space="preserve">プロービングポイントと信号名は図中で分かりやすく記載してください。
また説明は、テスト結果波形の説明および信号名と一致させてください。
</t>
    </r>
    <r>
      <rPr>
        <sz val="11"/>
        <color rgb="FF0070C0"/>
        <rFont val="Meiryo UI"/>
        <charset val="134"/>
      </rPr>
      <t>Need to show probing points and signal name clearly in the figures.
Also explanation shall be consistent with test result waveform and signal name.</t>
    </r>
  </si>
  <si>
    <r>
      <rPr>
        <sz val="11"/>
        <color theme="1"/>
        <rFont val="Meiryo UI"/>
        <charset val="134"/>
      </rPr>
      <t xml:space="preserve">コネクタピンNoを表に記載する場合はCNxxxx PinsなどどのコネクタのピンNoか記載してください。
またコネクタの信号情報がわかりにくいです。例えばすべてADCとか、PWMOUTなど違いが分かりません。
</t>
    </r>
    <r>
      <rPr>
        <sz val="11"/>
        <color rgb="FF0070C0"/>
        <rFont val="Meiryo UI"/>
        <charset val="134"/>
      </rPr>
      <t>Describe which connector pin number when lists connector pin number into a table, like CNxxxx xPins.  
Current notation is hardly recognize the information on signals in connector; for example, all ADC and PWMOUT cannot be distinguished.</t>
    </r>
  </si>
  <si>
    <t xml:space="preserve">Connector table 2 and table 3 is removed and explanation regarding connector PINS is provided in each of the test details as appropriate </t>
  </si>
  <si>
    <t>コネクタの表2および表3を削除し、各テスト詳細にコネクタピンに関する説明を適宜記載しました。</t>
  </si>
  <si>
    <r>
      <rPr>
        <sz val="11"/>
        <color theme="1"/>
        <rFont val="Meiryo UI"/>
        <charset val="134"/>
      </rPr>
      <t xml:space="preserve">デバッガの値をResultに記載する場合は値が読み取れる解像度で記載してください。
</t>
    </r>
    <r>
      <rPr>
        <sz val="11"/>
        <color rgb="FF0070C0"/>
        <rFont val="Meiryo UI"/>
        <charset val="134"/>
      </rPr>
      <t>Use sufficient resolution which allows to read out the values when using debugger display as result.</t>
    </r>
  </si>
  <si>
    <t xml:space="preserve">Captured new waveform and updated same. </t>
  </si>
  <si>
    <t>新しい波形を取得し、同様に更新しました。</t>
  </si>
  <si>
    <r>
      <rPr>
        <sz val="11"/>
        <color theme="1"/>
        <rFont val="Meiryo UI"/>
        <charset val="134"/>
      </rPr>
      <t xml:space="preserve">オシロ波形をResultにする場合は測定値が読み取れる解像度で記載してください。
またカーソルで時間などどの部分の値を測定したか明確にしてください。平均値なら平均とわかるように記載してください。
</t>
    </r>
    <r>
      <rPr>
        <sz val="11"/>
        <color rgb="FF0070C0"/>
        <rFont val="Meiryo UI"/>
        <charset val="134"/>
      </rPr>
      <t>Use sufficient resolution which allows to read-out the values when using oscilloscope waveform as results.
Also use the cursor to clarify where is the target area of the measurement.  Make the description clear as average is average.</t>
    </r>
  </si>
  <si>
    <r>
      <rPr>
        <sz val="11"/>
        <color theme="1"/>
        <rFont val="Meiryo UI"/>
        <charset val="134"/>
      </rPr>
      <t xml:space="preserve">オシロ波形の上限が表示範囲を超えており、最大値が分からない波形があります。レンジに収まるようにオシロの設定を適切に設定してください。(例：3.3.8)
</t>
    </r>
    <r>
      <rPr>
        <sz val="11"/>
        <color rgb="FF0070C0"/>
        <rFont val="Meiryo UI"/>
        <charset val="134"/>
      </rPr>
      <t>There are some waveform which doesn't show maximum value because of the upper limit of the oscilloscope waveform exceeds the display limit.  Set Oscillo scope with adequate range (e.g. 3.3.8)</t>
    </r>
  </si>
  <si>
    <r>
      <rPr>
        <sz val="11"/>
        <color theme="1"/>
        <rFont val="Meiryo UI"/>
        <charset val="134"/>
      </rPr>
      <t xml:space="preserve">Test set-upのプローブポイントが表示でずれないようにしてください(例3.7.3)
</t>
    </r>
    <r>
      <rPr>
        <sz val="11"/>
        <color rgb="FF0070C0"/>
        <rFont val="Meiryo UI"/>
        <charset val="134"/>
      </rPr>
      <t>Keep align the probe points in the display for Test set-up.  (e.g. 3.7.3)</t>
    </r>
  </si>
  <si>
    <r>
      <rPr>
        <sz val="11"/>
        <color theme="1"/>
        <rFont val="Meiryo UI"/>
        <charset val="134"/>
      </rPr>
      <t xml:space="preserve">2.6	Interface test  details
2.6章の詳細ですが、2.6～2.11の項目を包括しています。
下記のように採番するべきではないでしょうか。
2.6	Interface test details	
2.6.1	Interface name – GPIO (General purpose input output)
2.6.1.1	Test condition	
</t>
    </r>
    <r>
      <rPr>
        <sz val="11"/>
        <color rgb="FF0070C0"/>
        <rFont val="Meiryo UI"/>
        <charset val="134"/>
      </rPr>
      <t xml:space="preserve">2.6 Interface test details
It says details of 2.6 but it covers 2.6~2.11.  Make the structure as following:
  2.6	Interface test details	
  2.6.1	Interface name – GPIO (General purpose input output)
  2.6.1.1	Test condition	
  2.6 Interface test details  </t>
    </r>
  </si>
  <si>
    <t>Corrected the hierarchy</t>
  </si>
  <si>
    <t>階層構造を修正しました。</t>
  </si>
  <si>
    <t>2.6.4</t>
  </si>
  <si>
    <r>
      <rPr>
        <sz val="11"/>
        <color theme="1"/>
        <rFont val="Meiryo UI"/>
        <charset val="134"/>
      </rPr>
      <t xml:space="preserve">2.6.4	Test results - multi-meter readout captures
Test resultには期待値、測定値、判定の項目が欲しいです。
確認したのはLEDオン・オフなので、LED-ON(5V)ではないでしょうか。
</t>
    </r>
    <r>
      <rPr>
        <sz val="11"/>
        <color rgb="FF0070C0"/>
        <rFont val="Meiryo UI"/>
        <charset val="134"/>
      </rPr>
      <t>2.6.4	Test results - multi-meter readout captures
Need to have criteria, measured value (actual), and judgement for each test result.
Since it checks LED ON/OFF, it shall be LED-ON(5V).</t>
    </r>
  </si>
  <si>
    <t xml:space="preserve">Section 2 - Basic Interface Test is replaced with Scenario Based test using those interfaces
GPIO--&gt; Relay Circuit 
ADC--&gt; Temperature sensor
PWM--&gt;Gate driver for GaN
I2C--&gt;Current sensor
SPI--&gt;EEPROM test
CAN--&gt;CAN communication test
Captured new waveform and updated same. </t>
  </si>
  <si>
    <t xml:space="preserve"> セクション2「基本インターフェーステスト」は、これらのインターフェースを用いたシナリオベースのテストに置き換えました。
GPIO→リレー回路
ADC→温度センサー
PWM→GaN用ゲートドライバ
I2C→電流センサー
SPI→EEPROMテスト
CAN→CAN通信テスト
新しい波形を取得し、同様に更新しました。</t>
  </si>
  <si>
    <t>2.7.3</t>
  </si>
  <si>
    <r>
      <rPr>
        <sz val="11"/>
        <color theme="1"/>
        <rFont val="Meiryo UI"/>
        <charset val="134"/>
      </rPr>
      <t xml:space="preserve">Table 2 PWM connector pins  list table
Connector Pinがどのコネクタのピンを指すか不明です。説明ではCN1001と読み取れますが、CN1001は24品と記載されています。
またこの情報がテスト結果とどのように関係するか不明です。
</t>
    </r>
    <r>
      <rPr>
        <sz val="11"/>
        <color rgb="FF0070C0"/>
        <rFont val="Meiryo UI"/>
        <charset val="134"/>
      </rPr>
      <t>Table 2 PWM connector pins  list table
It is not clear which pin "Connector Pin" refers to.  In the description, it can be CN1001 but CN1001 is 24 pins.
And it is unclear how the information relates to the test result.</t>
    </r>
  </si>
  <si>
    <t>PWM testing is replaced by Gate driver for GaN and provided the required clarity</t>
  </si>
  <si>
    <t>PWMテストはGaN用ゲートドライバのテストに置き換え、必要な明確さを提供しました。</t>
  </si>
  <si>
    <t>2.7.4</t>
  </si>
  <si>
    <r>
      <rPr>
        <sz val="11"/>
        <color theme="1"/>
        <rFont val="Meiryo UI"/>
        <charset val="134"/>
      </rPr>
      <t xml:space="preserve">波形がどの信号を確認しているかわかりません。Table2と関連はあるのでしょうか。
波形には各取得信号の説明を記載してください。
</t>
    </r>
    <r>
      <rPr>
        <sz val="11"/>
        <color rgb="FF0070C0"/>
        <rFont val="Meiryo UI"/>
        <charset val="134"/>
      </rPr>
      <t>It cannot be identified which signal the waveform is for.  Is it have relationship with Table 2?
Shall each waveform have description on which signal was taken.</t>
    </r>
  </si>
  <si>
    <r>
      <rPr>
        <sz val="11"/>
        <color theme="1"/>
        <rFont val="Meiryo UI"/>
        <charset val="134"/>
      </rPr>
      <t xml:space="preserve">PWM testing is replaced by Gate driver for GaN and provided the required clarity
</t>
    </r>
    <r>
      <rPr>
        <sz val="11"/>
        <color theme="1"/>
        <rFont val="Meiryo UI"/>
        <charset val="134"/>
      </rPr>
      <t xml:space="preserve">
Table 2 removed as connector pin out shown on circuit diagram only</t>
    </r>
  </si>
  <si>
    <t>PWMテストはGaN用ゲートドライバのテストに置き換え、必要な明確さを提供しました。
表2は回路図にコネクタピン配置のみを示すため削除しました。</t>
  </si>
  <si>
    <r>
      <rPr>
        <sz val="11"/>
        <color theme="1"/>
        <rFont val="Meiryo UI"/>
        <charset val="134"/>
      </rPr>
      <t xml:space="preserve">図4にプローブポンとはありますが、各ポイントがPWM sample1,2,3のいずれかわかりません。
</t>
    </r>
    <r>
      <rPr>
        <sz val="11"/>
        <color rgb="FF0070C0"/>
        <rFont val="Meiryo UI"/>
        <charset val="134"/>
      </rPr>
      <t>Though in Fig 4 says Probe points, it is unclear which points corresponds to PWM sample 1, 2, or 3.</t>
    </r>
  </si>
  <si>
    <t>PWM testing is replaced by Gate driver for GaN and provided the required clarity
Mention probe points in the image clearly. Mention the respective probe points against the waveforms</t>
  </si>
  <si>
    <t>PWMテストはGaN用ゲートドライバのテストに置き換え、必要な明確さを提供しました。
画像内でプローブポイントを明確に示し、波形ごとに対応するプローブポイントを記載しました。</t>
  </si>
  <si>
    <r>
      <rPr>
        <sz val="11"/>
        <color theme="1"/>
        <rFont val="Meiryo UI"/>
        <charset val="134"/>
      </rPr>
      <t xml:space="preserve">48.02%は50％の期待値に対してOKなのでしょうか。
Test resultには期待値、測定値、判定の項目が欲しいです。
</t>
    </r>
    <r>
      <rPr>
        <sz val="11"/>
        <color rgb="FF0070C0"/>
        <rFont val="Meiryo UI"/>
        <charset val="134"/>
      </rPr>
      <t>Is acceptable 48.02% to expectation 50%?
Needs criteria, result (actual measurement) and judgement for Test Result.</t>
    </r>
  </si>
  <si>
    <t>2.8.2</t>
  </si>
  <si>
    <r>
      <rPr>
        <sz val="11"/>
        <color theme="1"/>
        <rFont val="Meiryo UI"/>
        <charset val="134"/>
      </rPr>
      <t xml:space="preserve">コネクタ2300の27～36ピンを読み取るのでしょうか。Table 3 ADC connector pinsには36以上のピンが記載されており、説明文との関係が不明です。
</t>
    </r>
    <r>
      <rPr>
        <sz val="11"/>
        <color rgb="FF0070C0"/>
        <rFont val="Meiryo UI"/>
        <charset val="134"/>
      </rPr>
      <t>Does it mean to read out 27~36 pins of connector 2300?  In the table 3 ADC connector pins listed more than 36 pins and not clear the relation with the explanation.</t>
    </r>
  </si>
  <si>
    <t>ADC interface testing is replaced by Temperature Sensor testing using ADC and provided the required clarity</t>
  </si>
  <si>
    <t>ADCインターフェーステストはADCを用いた温度センサーテストに置き換え、必要な明確さを提供しました。</t>
  </si>
  <si>
    <t>2.8.4</t>
  </si>
  <si>
    <t>2.8.5</t>
  </si>
  <si>
    <r>
      <rPr>
        <sz val="11"/>
        <color theme="1"/>
        <rFont val="Meiryo UI"/>
        <charset val="134"/>
      </rPr>
      <t xml:space="preserve">どこを見ればAD変換が正しく行われていると判断できるのでしょうか。
</t>
    </r>
    <r>
      <rPr>
        <sz val="11"/>
        <color rgb="FF0070C0"/>
        <rFont val="Meiryo UI"/>
        <charset val="134"/>
      </rPr>
      <t>Where can we identify the AD conversion goes correctly?</t>
    </r>
  </si>
  <si>
    <t>2.9.2</t>
  </si>
  <si>
    <t>CN2302を使用するとあるが、Figure 10に表記がなく、プローブのポイントも異なるようです。関連がわかりません。</t>
  </si>
  <si>
    <t>CAN interface testing is replaced by CAN communication testing and provided the required clarity</t>
  </si>
  <si>
    <t>CANインターフェーステストはCAN通信テストに置き換え、必要な明確さを提供しました。</t>
  </si>
  <si>
    <t>2.9.4</t>
  </si>
  <si>
    <r>
      <rPr>
        <sz val="11"/>
        <color theme="1"/>
        <rFont val="Meiryo UI"/>
        <charset val="134"/>
      </rPr>
      <t xml:space="preserve">この信号がID0ｘ200であることはどこで分かるのでしょうか。どこで正しく送信していることがわかりますか？
波形には各取得信号の説明を記載してください。
</t>
    </r>
    <r>
      <rPr>
        <sz val="11"/>
        <color rgb="FF0070C0"/>
        <rFont val="Meiryo UI"/>
        <charset val="134"/>
      </rPr>
      <t>Where can we identify the signal is ID0x200?  Where can we judge it send signal correctly?
Each waveform shall have explanation on measured signal.</t>
    </r>
  </si>
  <si>
    <t>2.9.5</t>
  </si>
  <si>
    <r>
      <rPr>
        <sz val="11"/>
        <color theme="1"/>
        <rFont val="Meiryo UI"/>
        <charset val="134"/>
      </rPr>
      <t xml:space="preserve">この結果が導かれる根拠が不明です。
</t>
    </r>
    <r>
      <rPr>
        <sz val="11"/>
        <color rgb="FF0070C0"/>
        <rFont val="Meiryo UI"/>
        <charset val="134"/>
      </rPr>
      <t>The reason is not clear why this result is introduced.</t>
    </r>
  </si>
  <si>
    <t>About...</t>
  </si>
  <si>
    <t>"Anout this document" better to avoid describing actual contents of the document like "critical sub-modules".  Rather it will be sufficient to tell the structure of this document like "1. General Information describes purpose of the testing and test setup overview.  2. Controller PCB test describes..." type of overview will be adequate and useful for the readers.</t>
  </si>
  <si>
    <t>B</t>
  </si>
  <si>
    <t>Mats</t>
  </si>
  <si>
    <t>About this document’ has been updated to describe the document structure only, instead of listing detailed critical sub-modules.</t>
  </si>
  <si>
    <t>「本書について」は、重要なサブモジュールの詳細を列挙するのではなく、文書構成のみを説明するように更新しました。</t>
  </si>
  <si>
    <t>The description is slightly different from what written in "About this document".  "About this document" says this contains "critical sub-module testing" while here it notes the test will cover all functionality in SRS.  Consider expressions between two (if to keep current About this document).</t>
  </si>
  <si>
    <t>C</t>
  </si>
  <si>
    <t>The ‘About this document’ section has been updated to explain only the document structure, and the ‘Purpose of the tests’ has also been revised to align with this description and the defined test items.</t>
  </si>
  <si>
    <t>「本書について」セクションは文書構成のみを説明するように更新され、「テストの目的」もこの説明と定義されたテスト項目に合わせて修正しました。</t>
  </si>
  <si>
    <t>Consider to add PCB configuration (block diagram) and show which PCB were tested (which PCB have not tested) for clarification.</t>
  </si>
  <si>
    <t>PCB configuration (block diagram) is added refer fig 3.</t>
  </si>
  <si>
    <t>PCB構成（ブロック図）を追加しました。図3を参照してください。</t>
  </si>
  <si>
    <t>1.1.1</t>
  </si>
  <si>
    <t>What is the definition of "lab conditions"?  I guess it is different from "assembly condition" or "product under operation", for example.  It might have restriction on the condition.  Definition will be required in advance to use a 'new concept'.</t>
  </si>
  <si>
    <t>Note is added, (Note: Lab conditions in this document mean that the PCB is tested in the laboratory at room temperature, without extra mechanical or environmental stress, PCB is out of case and no colling system.)</t>
  </si>
  <si>
    <t>注記を追加しました。（注：本書における「ラボ条件」とは、PCBが室温の実験室で追加の機械的・環境的ストレスなし、ケース外、冷却システムなしで試験されることを意味します。）</t>
  </si>
  <si>
    <t>1.1.1
1.1.2</t>
  </si>
  <si>
    <t>Consider to describe what Controller PCB, Driver PCB, and Power PCD has (functionality or major component) for readers to understand what kind of board this is.</t>
  </si>
  <si>
    <t>A brief description of the Controller PCB, Driver PCB, and Power PCB has been added to explain their main functions and components for better understanding.</t>
  </si>
  <si>
    <t>コントローラPCB、ドライバPCB、パワーPCBの主な機能と構成部品について簡単な説明を追加し、理解を深めました。</t>
  </si>
  <si>
    <t>What is "Microcontroller interface testing"?  Does it refers test of all interface of the microcontroller?</t>
  </si>
  <si>
    <t>In this document, ‘microcontroller interface testing’ means checking only the interfaces of the microcontroller that are used in this product(Ultrasmall 2-in-1) like(relay control, sensors, communication, memory, etc.).</t>
  </si>
  <si>
    <t>本書における「マイコンインターフェーステスト」とは、本製品（超小型2-in-1）で使用されているマイコンのインターフェース（リレー制御、センサー、通信、メモリ等）のみを確認することを意味します。</t>
  </si>
  <si>
    <t>What are the relationship among the list in 1.2 and 1.2.1?  If 1.2 describes Microcontroller testing, it better to be 1.2.1 and Circuit functional testing will be 1.2.2.  And add overview of the Test modules and methods in 1.2 (like there are two types of test; microcontroller interface testing and circuit functional testing)</t>
  </si>
  <si>
    <t>The section structure has been updated as suggested. Test modules and methods are now under section 1.2 &amp; 1.3.</t>
  </si>
  <si>
    <t>セクション構成を提案通りに更新しました。テストモジュールと方法は現在1.2および1.3節に記載されています。</t>
  </si>
  <si>
    <t>Note</t>
  </si>
  <si>
    <t>Symbol for "not considered" is not correct.</t>
  </si>
  <si>
    <t>A</t>
  </si>
  <si>
    <t xml:space="preserve">Symbol is corrected </t>
  </si>
  <si>
    <t>記号を修正しました。</t>
  </si>
  <si>
    <t>Not clearly understandable the purpose of this figure.
Need explanation of the fig.1.  e.g. PCB is out of case (no cooling), only use Oscilloscope for measurement/monitoring, PC and Canalyser are hidden,...</t>
  </si>
  <si>
    <t>Test setup image is updated with PC and Canalyser. case (no cooling) is not consider for test. See fig 4</t>
  </si>
  <si>
    <t>テストセットアップ画像をPCとCanalyserを含めて更新しました。ケース（冷却なし）はテスト対象外です。図4を参照してください。</t>
  </si>
  <si>
    <t>Consider to add the "coverage outline" of the tests.  Marking which part of the diagram (or schematics) were sufficient to show overview of the testing.  
Since this is a bring up test report, no 100% coverage is required.  But reader would like to know what parts were tested to understand remaining part of the testing.
Currently, it shows the part of circuit which was tested.
This can be a part of 1.x, thinking about there are 2 and 3.</t>
  </si>
  <si>
    <t>Section 1.4 is added for (Circuit does not consider for bord bring up test )  it has information like list of circuit not consider and likst of i identical circuit considered equivalent (Representative circuit tested).</t>
  </si>
  <si>
    <t>セクション1.4を追加し（ボード立ち上げテストで考慮しない回路）、考慮しない回路のリストや同等とみなす回路（代表回路）の情報を記載しました</t>
  </si>
  <si>
    <t>Consider put a list of tests (just test name).
The list of tests can be seen in the TOC, so it can be redundant.
This can be a part of 1.x, thinking about there are 2 and 3.</t>
  </si>
  <si>
    <t>A list of tests is already provided in Table 1 (Test vs. PCBs Considered). NOw its updated with actual test name provided in section 2 and 3.</t>
  </si>
  <si>
    <t>テストのリストはすでに表1（テストと対象PCB）に記載されており、現在はセクション2および3で実際のテスト名に更新されています。</t>
  </si>
  <si>
    <r>
      <rPr>
        <sz val="11"/>
        <rFont val="Meiryo UI"/>
        <charset val="128"/>
      </rPr>
      <t xml:space="preserve">Figure18(write)Figure19(Read)と記載されていますが、キャプチャにはFigure18のrx_buf[3]=0x77が記録されており、Read時のデータに見えます。ご確認をお願いいたします。
</t>
    </r>
    <r>
      <rPr>
        <sz val="11"/>
        <color rgb="FF0070C0"/>
        <rFont val="Meiryo UI"/>
        <charset val="128"/>
      </rPr>
      <t>It is described as Figure 18 (write) and Figure 19 (read), capture shows Figure 18 ex_buf[3]=0x77 and it is assumed to be the data at 'read'.  Please check</t>
    </r>
  </si>
  <si>
    <t>The caption has been updated to reflect Figure 18 (read) and Figure 19 (write). It was a typo 
and a review miss as well.</t>
  </si>
  <si>
    <t>キャプションを「Figure 18（読取）」および「Figure 19（書込）」に修正しました。これはタイプミスおよびレビュー漏れでした。</t>
  </si>
  <si>
    <t>OK</t>
  </si>
  <si>
    <r>
      <rPr>
        <sz val="11"/>
        <color theme="1"/>
        <rFont val="Meiryo UI"/>
        <charset val="128"/>
      </rPr>
      <t xml:space="preserve">小数点の丸め方についてですが、どのようなルールで丸めていますか？四捨五入ではない丸め方をしています。
</t>
    </r>
    <r>
      <rPr>
        <sz val="11"/>
        <color rgb="FF0070C0"/>
        <rFont val="Meiryo UI"/>
        <charset val="128"/>
      </rPr>
      <t>What is the rule for rounding off?  It doesn't seem to be rounding up/down (truncate .4, round up .5)</t>
    </r>
  </si>
  <si>
    <t xml:space="preserve">All voltage values are rounded to 3 decimal  (Except Table 10 ADC lookup table temperature sensor because  sensitivity is high where we have kept the rounding to 4 digits). 
Frequency , duty cycle and current are rounded to 2 decimal  
This rounding convention is to keep the values in consistancy with the oscilloscope reading </t>
  </si>
  <si>
    <r>
      <t>すべての</t>
    </r>
    <r>
      <rPr>
        <sz val="11"/>
        <color theme="1"/>
        <rFont val="SimSun"/>
        <charset val="128"/>
      </rPr>
      <t>電圧値</t>
    </r>
    <r>
      <rPr>
        <sz val="11"/>
        <color theme="1"/>
        <rFont val="MS Gothic"/>
        <charset val="128"/>
      </rPr>
      <t>は</t>
    </r>
    <r>
      <rPr>
        <sz val="11"/>
        <color theme="1"/>
        <rFont val="SimSun"/>
        <charset val="128"/>
      </rPr>
      <t>小数点以下</t>
    </r>
    <r>
      <rPr>
        <sz val="11"/>
        <color theme="1"/>
        <rFont val="Meiryo UI"/>
        <charset val="128"/>
      </rPr>
      <t>3</t>
    </r>
    <r>
      <rPr>
        <sz val="11"/>
        <color theme="1"/>
        <rFont val="SimSun"/>
        <charset val="128"/>
      </rPr>
      <t>桁</t>
    </r>
    <r>
      <rPr>
        <sz val="11"/>
        <color theme="1"/>
        <rFont val="MS Gothic"/>
        <charset val="128"/>
      </rPr>
      <t>に</t>
    </r>
    <r>
      <rPr>
        <sz val="11"/>
        <color theme="1"/>
        <rFont val="SimSun"/>
        <charset val="128"/>
      </rPr>
      <t>丸</t>
    </r>
    <r>
      <rPr>
        <sz val="11"/>
        <color theme="1"/>
        <rFont val="MS Gothic"/>
        <charset val="128"/>
      </rPr>
      <t>めています</t>
    </r>
    <r>
      <rPr>
        <sz val="11"/>
        <color theme="1"/>
        <rFont val="SimSun"/>
        <charset val="128"/>
      </rPr>
      <t>（</t>
    </r>
    <r>
      <rPr>
        <sz val="11"/>
        <color theme="1"/>
        <rFont val="MS Gothic"/>
        <charset val="128"/>
      </rPr>
      <t>ただし</t>
    </r>
    <r>
      <rPr>
        <sz val="11"/>
        <color theme="1"/>
        <rFont val="SimSun"/>
        <charset val="128"/>
      </rPr>
      <t>、感度</t>
    </r>
    <r>
      <rPr>
        <sz val="11"/>
        <color theme="1"/>
        <rFont val="MS Gothic"/>
        <charset val="128"/>
      </rPr>
      <t>が</t>
    </r>
    <r>
      <rPr>
        <sz val="11"/>
        <color theme="1"/>
        <rFont val="SimSun"/>
        <charset val="128"/>
      </rPr>
      <t>高</t>
    </r>
    <r>
      <rPr>
        <sz val="11"/>
        <color theme="1"/>
        <rFont val="MS Gothic"/>
        <charset val="128"/>
      </rPr>
      <t>い</t>
    </r>
    <r>
      <rPr>
        <sz val="11"/>
        <color theme="1"/>
        <rFont val="Meiryo UI"/>
        <charset val="128"/>
      </rPr>
      <t>Table 10</t>
    </r>
    <r>
      <rPr>
        <sz val="11"/>
        <color theme="1"/>
        <rFont val="MS Gothic"/>
        <charset val="128"/>
      </rPr>
      <t>の</t>
    </r>
    <r>
      <rPr>
        <sz val="11"/>
        <color theme="1"/>
        <rFont val="Meiryo UI"/>
        <charset val="128"/>
      </rPr>
      <t>ADC</t>
    </r>
    <r>
      <rPr>
        <sz val="11"/>
        <color theme="1"/>
        <rFont val="MS Gothic"/>
        <charset val="128"/>
      </rPr>
      <t>ルックアップテーブル</t>
    </r>
    <r>
      <rPr>
        <sz val="11"/>
        <color theme="1"/>
        <rFont val="SimSun"/>
        <charset val="128"/>
      </rPr>
      <t>温度</t>
    </r>
    <r>
      <rPr>
        <sz val="11"/>
        <color theme="1"/>
        <rFont val="MS Gothic"/>
        <charset val="128"/>
      </rPr>
      <t>センサーは</t>
    </r>
    <r>
      <rPr>
        <sz val="11"/>
        <color theme="1"/>
        <rFont val="Meiryo UI"/>
        <charset val="128"/>
      </rPr>
      <t>4</t>
    </r>
    <r>
      <rPr>
        <sz val="11"/>
        <color theme="1"/>
        <rFont val="SimSun"/>
        <charset val="128"/>
      </rPr>
      <t>桁</t>
    </r>
    <r>
      <rPr>
        <sz val="11"/>
        <color theme="1"/>
        <rFont val="MS Gothic"/>
        <charset val="128"/>
      </rPr>
      <t>にしています</t>
    </r>
    <r>
      <rPr>
        <sz val="11"/>
        <color theme="1"/>
        <rFont val="SimSun"/>
        <charset val="128"/>
      </rPr>
      <t>）。周波数、</t>
    </r>
    <r>
      <rPr>
        <sz val="11"/>
        <color theme="1"/>
        <rFont val="MS Gothic"/>
        <charset val="128"/>
      </rPr>
      <t>デューティ</t>
    </r>
    <r>
      <rPr>
        <sz val="11"/>
        <color theme="1"/>
        <rFont val="SimSun"/>
        <charset val="128"/>
      </rPr>
      <t>比、電流</t>
    </r>
    <r>
      <rPr>
        <sz val="11"/>
        <color theme="1"/>
        <rFont val="MS Gothic"/>
        <charset val="128"/>
      </rPr>
      <t>は</t>
    </r>
    <r>
      <rPr>
        <sz val="11"/>
        <color theme="1"/>
        <rFont val="SimSun"/>
        <charset val="128"/>
      </rPr>
      <t>小数点以下</t>
    </r>
    <r>
      <rPr>
        <sz val="11"/>
        <color theme="1"/>
        <rFont val="Meiryo UI"/>
        <charset val="128"/>
      </rPr>
      <t>2</t>
    </r>
    <r>
      <rPr>
        <sz val="11"/>
        <color theme="1"/>
        <rFont val="SimSun"/>
        <charset val="128"/>
      </rPr>
      <t>桁</t>
    </r>
    <r>
      <rPr>
        <sz val="11"/>
        <color theme="1"/>
        <rFont val="MS Gothic"/>
        <charset val="128"/>
      </rPr>
      <t>に</t>
    </r>
    <r>
      <rPr>
        <sz val="11"/>
        <color theme="1"/>
        <rFont val="SimSun"/>
        <charset val="128"/>
      </rPr>
      <t>丸</t>
    </r>
    <r>
      <rPr>
        <sz val="11"/>
        <color theme="1"/>
        <rFont val="MS Gothic"/>
        <charset val="128"/>
      </rPr>
      <t>めています</t>
    </r>
    <r>
      <rPr>
        <sz val="11"/>
        <color theme="1"/>
        <rFont val="SimSun"/>
        <charset val="128"/>
      </rPr>
      <t>。</t>
    </r>
    <r>
      <rPr>
        <sz val="11"/>
        <color theme="1"/>
        <rFont val="MS Gothic"/>
        <charset val="128"/>
      </rPr>
      <t>この</t>
    </r>
    <r>
      <rPr>
        <sz val="11"/>
        <color theme="1"/>
        <rFont val="SimSun"/>
        <charset val="128"/>
      </rPr>
      <t>丸</t>
    </r>
    <r>
      <rPr>
        <sz val="11"/>
        <color theme="1"/>
        <rFont val="MS Gothic"/>
        <charset val="128"/>
      </rPr>
      <t>め</t>
    </r>
    <r>
      <rPr>
        <sz val="11"/>
        <color theme="1"/>
        <rFont val="SimSun"/>
        <charset val="128"/>
      </rPr>
      <t>規則</t>
    </r>
    <r>
      <rPr>
        <sz val="11"/>
        <color theme="1"/>
        <rFont val="MS Gothic"/>
        <charset val="128"/>
      </rPr>
      <t>はオシロスコープの</t>
    </r>
    <r>
      <rPr>
        <sz val="11"/>
        <color theme="1"/>
        <rFont val="SimSun"/>
        <charset val="128"/>
      </rPr>
      <t>読</t>
    </r>
    <r>
      <rPr>
        <sz val="11"/>
        <color theme="1"/>
        <rFont val="MS Gothic"/>
        <charset val="128"/>
      </rPr>
      <t>み</t>
    </r>
    <r>
      <rPr>
        <sz val="11"/>
        <color theme="1"/>
        <rFont val="SimSun"/>
        <charset val="128"/>
      </rPr>
      <t>取</t>
    </r>
    <r>
      <rPr>
        <sz val="11"/>
        <color theme="1"/>
        <rFont val="MS Gothic"/>
        <charset val="128"/>
      </rPr>
      <t>り</t>
    </r>
    <r>
      <rPr>
        <sz val="11"/>
        <color theme="1"/>
        <rFont val="SimSun"/>
        <charset val="128"/>
      </rPr>
      <t>値</t>
    </r>
    <r>
      <rPr>
        <sz val="11"/>
        <color theme="1"/>
        <rFont val="MS Gothic"/>
        <charset val="128"/>
      </rPr>
      <t>と</t>
    </r>
    <r>
      <rPr>
        <sz val="11"/>
        <color theme="1"/>
        <rFont val="SimSun"/>
        <charset val="128"/>
      </rPr>
      <t>一貫性</t>
    </r>
    <r>
      <rPr>
        <sz val="11"/>
        <color theme="1"/>
        <rFont val="MS Gothic"/>
        <charset val="128"/>
      </rPr>
      <t>を</t>
    </r>
    <r>
      <rPr>
        <sz val="11"/>
        <color theme="1"/>
        <rFont val="SimSun"/>
        <charset val="128"/>
      </rPr>
      <t>保</t>
    </r>
    <r>
      <rPr>
        <sz val="11"/>
        <color theme="1"/>
        <rFont val="MS Gothic"/>
        <charset val="128"/>
      </rPr>
      <t>つためです</t>
    </r>
    <r>
      <rPr>
        <sz val="11"/>
        <color theme="1"/>
        <rFont val="SimSun"/>
        <charset val="128"/>
      </rPr>
      <t>。</t>
    </r>
  </si>
  <si>
    <t>テストの測定データをまとめた表について、Table名の記載のないです。各Resultとして、Table名を明記したほうが良いと思います。
There is no table name for the table that summarizes the result of test measurement data.  Add table name as each result.</t>
  </si>
  <si>
    <t>Captions names have been added to all result summary tables .</t>
  </si>
  <si>
    <t>すべての結果要約表にキャプション名を追加しました。</t>
  </si>
  <si>
    <t>3.1.4</t>
  </si>
  <si>
    <r>
      <rPr>
        <sz val="11"/>
        <rFont val="Meiryo UI"/>
        <charset val="128"/>
      </rPr>
      <t xml:space="preserve">1)不適切なデータの丸め方、データの間違いがあり、キャプチャを正とすると、本テストはFAILとなります。
　下記黄色の項目はFAILだと思われます。ご確認ください。
　＋3Aは小数点の丸め方によって判断が分かれますが、測定値として範囲外なのでFAILかと思いますが、どのような判断基準でしょうか。
</t>
    </r>
    <r>
      <rPr>
        <sz val="11"/>
        <color rgb="FF0070C0"/>
        <rFont val="Meiryo UI"/>
        <charset val="128"/>
      </rPr>
      <t>1) With incorrect rounding and wrong data, this test shall be "FAIL" if take the capture is correct.
The yellow highlighted items in below table shall be "FAIL".  Confirm them.
+3A may have different opinion with how to round-up/truncate at the decimal point, though, the value itself is out of range so that it shall be "FAIL"; what is the criteria?</t>
    </r>
    <r>
      <rPr>
        <sz val="11"/>
        <rFont val="Meiryo UI"/>
        <charset val="128"/>
      </rPr>
      <t xml:space="preserve">
</t>
    </r>
  </si>
  <si>
    <t xml:space="preserve">The acceptance range is ±1.84% (based on WCCA calculations). The reviewer vrefied against the WCCA range and judged as "PASS" where as with the range of ±1%, it was a failing test case.
The report is now updated with acceptance range as ±1.84%,the test is re-performend and the test result table is updateed with the captured values. Now the test case is "PASS".
</t>
  </si>
  <si>
    <t>許容範囲は±1.84%（WCCA計算に基づく）です。レビュアーはWCCA範囲で確認しPASSと判断しましたが、±1%の範囲ではFAILでした。レポートは許容範囲±1.84%に更新され、テストを再実施し、キャプチャ値でテスト結果表を更新しました。現在このテストケースはPASSです。</t>
  </si>
  <si>
    <t>3.3.5</t>
  </si>
  <si>
    <r>
      <rPr>
        <sz val="11"/>
        <rFont val="Meiryo UI"/>
        <charset val="128"/>
      </rPr>
      <t xml:space="preserve">1)キャプチャに記載されたDutyと結果の表に記載されたCriteriaとMeasuredとMeasured errorの有効桁数が異なります。
Criteria：整数
キャプチャ：小数点以下3桁
Measured：小数点以下2桁
Measured error％：小数点以下3桁
2)Frequencyを算出していますが、キャプチャの記載単位が”divisions”となっております。”us”単位で記載頂きたいです。"divisions"で記載されるとFrequencyへの変換がわかりにくいです。
3)Test result PFC S1 gate driver with FET drain to source PFC_G1のデータで10%dutyの周期が50%、90％と異なっています。周波数算出には50%、90%の値のみを使用しています。算出方法は正しいでしょうか。
4)Figure 50 AHV85111KNHTR (GaN) Gate driver test output For PFC S2 at 50% duty のdutyコメント値が間違っています。
5)Test result PFC S3 gate driver gate to source PFC_G3 is signal name (IC3003)のおけるFigure 56の数値(50.136%)と表の数値(50.20%(50.198%))が異なっています。
</t>
    </r>
    <r>
      <rPr>
        <sz val="11"/>
        <color rgb="FF0070C0"/>
        <rFont val="Meiryo UI"/>
        <charset val="128"/>
      </rPr>
      <t>1) Digits are different in Criteria/Measured/Measured error which are described in the Duty described in the capture and result table.
  Criteria: Integer
  Capture: 3 decimal places
  Measured: 2 decimal places
  Measured Error %: 2 decimal places
2) It calculate "Frequency" but the unit in capture is "divisions".  Describe in "us" because it is hard to understand the conversion to Frequency with description of "divisions".
3) The cycles are different as 50% and 90% in 10% duty at "Test result PFC S1 gate driver with FET drain to source PFC_G1".  Calculation uses only 50% and 90%.  Are these calculation correct?
4) Comment on duty is wrong at Figure 50 AHV85111KNHTR (GaN) Gate driver test output For PFC S2 at 50%
5) The values are different in Figure 56 (50.13%) and table (50.20%) in "Test result PFC S3 gate driver gate to source PFC_G3 is signal name (IC3003)"</t>
    </r>
  </si>
  <si>
    <t>All the required corrections are done for all the 1 to 5 comments 
1)  All digits are now updated to 2 decimal places.
2) We have taken a new snap in which we have taken the values in frequency(kHz)
3) New snap shots have been taken and the report is updated.
4) New snap shots have been taken and the report is updated.
5) New snap shots have ben taken and the report is updated.</t>
  </si>
  <si>
    <t>コメント1～5に対するすべての必要な修正を実施しました。1) 有効桁数はすべて小数点以下2桁に更新しました。2) 周波数(kHz)で値を取得した新しいスナップショットを撮影しました。3) 新しいスナップショットを撮影し、レポートを更新しました。4) 新しいスナップショットを撮影し、レポートを更新しました。5) 新しいスナップショットを撮影し、レポートを更新しました。</t>
  </si>
  <si>
    <t>40-71
74-85</t>
  </si>
  <si>
    <t>3.3.5
3.4.4</t>
  </si>
  <si>
    <r>
      <rPr>
        <sz val="11"/>
        <rFont val="Meiryo UI"/>
        <charset val="128"/>
      </rPr>
      <t xml:space="preserve">6)Figure52-54について、各CHの測定値が記載されていません。(以下の部分が切り取られています)
　また、キャプチャ内のDutyコメント値を真とするとDuty50%は58.101％でありFAILです。
　さらに、すべてのDuty、FrequencyがFigure49-51と同一ですが、偶然でしょうか。
7)Figure64-66について、6)と同様に各CHの測定値が記載されていません。
　さらに、すべてのDuty、FrequencyがFigure61-63と同一ですが、偶然でしょうか。
8)Figure70-72について、6)と同様に各CHの測定値が記載されていません。
　さらに、すべてのDuty、FrequencyがFigure67-69と同一ですが、偶然でしょうか。
9)Figure76-78について、6)と同様に各CHの測定値が記載されていません。
　さらに、すべてのDuty、FrequencyがFigure73-75と同一ですが、偶然でしょうか。
10)Figure82-84について、6)と同様に各CHの測定値が記載されていません。
　さらに、すべてのDuty、FrequencyがFigure79-81と同一ですが、偶然でしょうか。
11)以降疑わしいので確認いたしません。3.3および3.4章の全データ確認およびキャプチャの修正をお願いいたします。
</t>
    </r>
    <r>
      <rPr>
        <sz val="11"/>
        <color rgb="FF0070C0"/>
        <rFont val="Meiryo UI"/>
        <charset val="128"/>
      </rPr>
      <t xml:space="preserve">6) In Figure 52-54, measured value for each channel is not noted (bottom parts are cut-off)
  And take duty comment value in the capture as true, Duty 50% become 58.101% and it is "FAIL".
  In addition, all Duty and Frequency are the same as Figure 49-51; is this coincidence?
7) As same as 6), no measured value is described for each channel in Figure 64-66.
  And all Duty and Frequency is the same as Figure 61-63; Is this coincidence?
8) As same as 6), no measured value is described for each channel in Figure 70-72.
  And all Duty and Frequency is the same as Figure 67-69; Is this coincidence?
9) As same as 6), no measured value is described for each channel in Figure 76-78.
  And all Duty and Frequency is the same as Figure 73-75; Is this coincidence?
10) As same as 6), no measured value is described for each channel in Figure 82-84.
  And all Duty and Frequency is the same as Figure 79-81; Is this coincidence?
11) Let me skip remaining part which are skeptical.  </t>
    </r>
    <r>
      <rPr>
        <b/>
        <sz val="11"/>
        <color rgb="FF0070C0"/>
        <rFont val="Meiryo UI"/>
        <charset val="128"/>
      </rPr>
      <t xml:space="preserve">Check and update entire data &amp; capture in 3.3 and 3.4
</t>
    </r>
  </si>
  <si>
    <t>6) 58.101% was a typing mistake and review miss as well. New snap shots have ben taken and the report is updated with correct values.
7 to 11 - New snap shots have ben taken and the report is updated with correct values.</t>
  </si>
  <si>
    <t>58.101%はタイプミスおよびレビュー漏れでした。新しいスナップショットを撮影し、正しい値でレポートを更新しました。コメント7～11についても新しいスナップショットを撮影し、正しい値でレポートを更新しました。</t>
  </si>
  <si>
    <t>3.5.4</t>
  </si>
  <si>
    <r>
      <rPr>
        <sz val="11"/>
        <rFont val="Meiryo UI"/>
        <charset val="128"/>
      </rPr>
      <t xml:space="preserve">3.5.4	Test result GaN Gate driver supply
Note: 
Yellow→ GaN Gate driver supply input result
Blue → GaN Gate driver supply output result
TP3049→ GaN Gate driver supply output result Measurement test point
TP3049→ GaN Gate driver supply input result Measurement test point
InputはTP3048ではないでしょうか。
</t>
    </r>
    <r>
      <rPr>
        <sz val="11"/>
        <color rgb="FF0070C0"/>
        <rFont val="Meiryo UI"/>
        <charset val="128"/>
      </rPr>
      <t>3.5.4	Test result GaN Gate driver supply
Note: 
Yellow→ GaN Gate driver supply input result
Blue → GaN Gate driver supply output result
TP3049→ GaN Gate driver supply output result Measurement test point
TP3049→ GaN Gate driver supply input result Measurement test point
Shall Input be TP3048?</t>
    </r>
  </si>
  <si>
    <t>GaN Gate driver supply input measurement test point is updated to TP3048 (instead of TP3049).</t>
  </si>
  <si>
    <t>GaNゲートドライバ供給入力の測定ポイントをTP3049からTP3048に更新しました。</t>
  </si>
  <si>
    <t>91-94</t>
  </si>
  <si>
    <t>3.6.4</t>
  </si>
  <si>
    <r>
      <rPr>
        <sz val="11"/>
        <rFont val="Meiryo UI"/>
        <charset val="128"/>
      </rPr>
      <t xml:space="preserve">3.6.4	 Test result 
PFC SiC Driver Power Supply HS
Note:
Yellow → HS SiC gate-driver supply output result signal name is HS_PFC_18V
Blue → HS gate-driver supply output result signal name is HS_PFC_-4V
TP3005 → SiC gate-driver HS supply output result measurement test point
TP3009 → SiC gate-driver HS supply output result measurement test point
TP3005とTP3009の説明文は違いがわかるように記載してください。TP3011とTP3015、TP3021とTP3025他も同様です。
</t>
    </r>
    <r>
      <rPr>
        <sz val="11"/>
        <color rgb="FFFF0000"/>
        <rFont val="Meiryo UI"/>
        <charset val="128"/>
      </rPr>
      <t>3.6.4	 Test result 
PFC SiC Driver Power Supply HS
Note:
Yellow → HS SiC gate-driver supply output result signal name is HS_PFC_18V
Blue → HS gate-driver supply output result signal name is HS_PFC_-4V
TP3005 → SiC gate-driver HS supply output result measurement test point
TP3009 → SiC gate-driver HS supply output result measurement test point
Make the explanation to distinguish the differences for TP3005 and TP3009.
Same for TP3011 &amp; TP3015, TP3021 &amp; TP3025,... and same for the others</t>
    </r>
    <r>
      <rPr>
        <sz val="11"/>
        <color rgb="FF0070C0"/>
        <rFont val="Meiryo UI"/>
        <charset val="128"/>
      </rPr>
      <t>.</t>
    </r>
  </si>
  <si>
    <t xml:space="preserve">
Now we have updated the explanation so that the test points </t>
  </si>
  <si>
    <t>テストポイントの違いが分かるように説明を更新しました。</t>
  </si>
  <si>
    <t>3.7.4</t>
  </si>
  <si>
    <r>
      <rPr>
        <sz val="11"/>
        <rFont val="Meiryo UI"/>
        <charset val="128"/>
      </rPr>
      <t xml:space="preserve">1)Criteriaにて0.00Vの±5%とはどのような基準ですか。何Vまで許容されますか？
2)Resultの表においてMeasured Voutの各測定値のみ単位がありません。
</t>
    </r>
    <r>
      <rPr>
        <sz val="11"/>
        <color rgb="FF0070C0"/>
        <rFont val="Meiryo UI"/>
        <charset val="128"/>
      </rPr>
      <t>1) What is the regulation/standard for Criteria at 0.00V with ±5%?  How many voltage can be allowed?
2) In the Result table, no unit is shown for Measured Vout values.</t>
    </r>
  </si>
  <si>
    <t xml:space="preserve">1) For 0V case, updated the report with following comment "Not captured for PASS / FAIL judgement but used for checking Sensor sensitivity"
2) Table is updated </t>
  </si>
  <si>
    <t>1) 0Vの場合、PASS/FAIL判定には使用せず、センサー感度確認に使用する旨のコメントをレポートに追加しました。2) 表を更新しました。</t>
  </si>
  <si>
    <t>103
105</t>
  </si>
  <si>
    <t>3.8.4
3.9.4</t>
  </si>
  <si>
    <r>
      <rPr>
        <sz val="11"/>
        <rFont val="Meiryo UI"/>
        <charset val="128"/>
      </rPr>
      <t xml:space="preserve">リップルを測定していますが、測定期間が10usしかなく短すぎると思います。1ms/div以上に設定し、数ms~数十msの期間で確認したほうが良いと思います。
</t>
    </r>
    <r>
      <rPr>
        <sz val="11"/>
        <color rgb="FF0070C0"/>
        <rFont val="Meiryo UI"/>
        <charset val="128"/>
      </rPr>
      <t>It is too short to measure 10us only for measuring ripples.  Set more or equal to 1ms/div and check several ms to several 10 ms for observation.</t>
    </r>
  </si>
  <si>
    <t>The test has been conducted with the time base updated to ≥ 5 ms/div, and the results have been updated in the report. Please refer to Figure 206 and Figure 209, which both show the results.</t>
  </si>
  <si>
    <t>テストはタイムベースを5ms/div以上に更新して実施し、結果をレポートに反映しました。図206および図209を参照してください。</t>
  </si>
  <si>
    <t>3.10.2</t>
  </si>
  <si>
    <r>
      <rPr>
        <sz val="11"/>
        <rFont val="Meiryo UI"/>
        <charset val="128"/>
      </rPr>
      <t xml:space="preserve">他章との統一を取るために、Test resultsの項目を作成したほうがよいです。
また、結果の表はありますが、エビデンスが何もないです。
</t>
    </r>
    <r>
      <rPr>
        <sz val="11"/>
        <color rgb="FF0070C0"/>
        <rFont val="Meiryo UI"/>
        <charset val="128"/>
      </rPr>
      <t>Make Test result items to be consistent with other chapters.
And it has result table but has no evidence.</t>
    </r>
  </si>
  <si>
    <t>The results were obtained during testing using a thermal gun. Photo evidence was not captured. The same comment is added in section 3.10.2
Also captured the comment in "Pending items list" to update report for updated PCB with the PCB track test incluing photo gragh in the next phase.</t>
  </si>
  <si>
    <r>
      <t>結果</t>
    </r>
    <r>
      <rPr>
        <sz val="11"/>
        <color theme="1"/>
        <rFont val="MS Gothic"/>
        <charset val="128"/>
      </rPr>
      <t>はサーマルガンを</t>
    </r>
    <r>
      <rPr>
        <sz val="11"/>
        <color theme="1"/>
        <rFont val="SimSun"/>
        <charset val="128"/>
      </rPr>
      <t>使用</t>
    </r>
    <r>
      <rPr>
        <sz val="11"/>
        <color theme="1"/>
        <rFont val="MS Gothic"/>
        <charset val="128"/>
      </rPr>
      <t>した</t>
    </r>
    <r>
      <rPr>
        <sz val="11"/>
        <color theme="1"/>
        <rFont val="SimSun"/>
        <charset val="128"/>
      </rPr>
      <t>試験中</t>
    </r>
    <r>
      <rPr>
        <sz val="11"/>
        <color theme="1"/>
        <rFont val="MS Gothic"/>
        <charset val="128"/>
      </rPr>
      <t>に</t>
    </r>
    <r>
      <rPr>
        <sz val="11"/>
        <color theme="1"/>
        <rFont val="SimSun"/>
        <charset val="128"/>
      </rPr>
      <t>取得</t>
    </r>
    <r>
      <rPr>
        <sz val="11"/>
        <color theme="1"/>
        <rFont val="MS Gothic"/>
        <charset val="128"/>
      </rPr>
      <t>しました</t>
    </r>
    <r>
      <rPr>
        <sz val="11"/>
        <color theme="1"/>
        <rFont val="SimSun"/>
        <charset val="128"/>
      </rPr>
      <t>。写真証拠</t>
    </r>
    <r>
      <rPr>
        <sz val="11"/>
        <color theme="1"/>
        <rFont val="MS Gothic"/>
        <charset val="128"/>
      </rPr>
      <t>は</t>
    </r>
    <r>
      <rPr>
        <sz val="11"/>
        <color theme="1"/>
        <rFont val="SimSun"/>
        <charset val="128"/>
      </rPr>
      <t>撮影</t>
    </r>
    <r>
      <rPr>
        <sz val="11"/>
        <color theme="1"/>
        <rFont val="MS Gothic"/>
        <charset val="128"/>
      </rPr>
      <t>していません</t>
    </r>
    <r>
      <rPr>
        <sz val="11"/>
        <color theme="1"/>
        <rFont val="SimSun"/>
        <charset val="128"/>
      </rPr>
      <t>。同</t>
    </r>
    <r>
      <rPr>
        <sz val="11"/>
        <color theme="1"/>
        <rFont val="MS Gothic"/>
        <charset val="128"/>
      </rPr>
      <t>じコメントをセクション</t>
    </r>
    <r>
      <rPr>
        <sz val="11"/>
        <color theme="1"/>
        <rFont val="Meiryo UI"/>
        <charset val="128"/>
      </rPr>
      <t>3.10.2</t>
    </r>
    <r>
      <rPr>
        <sz val="11"/>
        <color theme="1"/>
        <rFont val="MS Gothic"/>
        <charset val="128"/>
      </rPr>
      <t>に</t>
    </r>
    <r>
      <rPr>
        <sz val="11"/>
        <color theme="1"/>
        <rFont val="SimSun"/>
        <charset val="128"/>
      </rPr>
      <t>追加</t>
    </r>
    <r>
      <rPr>
        <sz val="11"/>
        <color theme="1"/>
        <rFont val="MS Gothic"/>
        <charset val="128"/>
      </rPr>
      <t>し</t>
    </r>
    <r>
      <rPr>
        <sz val="11"/>
        <color theme="1"/>
        <rFont val="SimSun"/>
        <charset val="128"/>
      </rPr>
      <t>、次</t>
    </r>
    <r>
      <rPr>
        <sz val="11"/>
        <color theme="1"/>
        <rFont val="MS Gothic"/>
        <charset val="128"/>
      </rPr>
      <t>フェーズで</t>
    </r>
    <r>
      <rPr>
        <sz val="11"/>
        <color theme="1"/>
        <rFont val="Meiryo UI"/>
        <charset val="128"/>
      </rPr>
      <t>PCB</t>
    </r>
    <r>
      <rPr>
        <sz val="11"/>
        <color theme="1"/>
        <rFont val="MS Gothic"/>
        <charset val="128"/>
      </rPr>
      <t>トラックテストを</t>
    </r>
    <r>
      <rPr>
        <sz val="11"/>
        <color theme="1"/>
        <rFont val="SimSun"/>
        <charset val="128"/>
      </rPr>
      <t>含</t>
    </r>
    <r>
      <rPr>
        <sz val="11"/>
        <color theme="1"/>
        <rFont val="MS Gothic"/>
        <charset val="128"/>
      </rPr>
      <t>む</t>
    </r>
    <r>
      <rPr>
        <sz val="11"/>
        <color theme="1"/>
        <rFont val="SimSun"/>
        <charset val="128"/>
      </rPr>
      <t>写真</t>
    </r>
    <r>
      <rPr>
        <sz val="11"/>
        <color theme="1"/>
        <rFont val="MS Gothic"/>
        <charset val="128"/>
      </rPr>
      <t>を</t>
    </r>
    <r>
      <rPr>
        <sz val="11"/>
        <color theme="1"/>
        <rFont val="SimSun"/>
        <charset val="128"/>
      </rPr>
      <t>更新</t>
    </r>
    <r>
      <rPr>
        <sz val="11"/>
        <color theme="1"/>
        <rFont val="MS Gothic"/>
        <charset val="128"/>
      </rPr>
      <t>するために</t>
    </r>
    <r>
      <rPr>
        <sz val="11"/>
        <color theme="1"/>
        <rFont val="SimSun"/>
        <charset val="128"/>
      </rPr>
      <t>「保留項目</t>
    </r>
    <r>
      <rPr>
        <sz val="11"/>
        <color theme="1"/>
        <rFont val="MS Gothic"/>
        <charset val="128"/>
      </rPr>
      <t>リスト</t>
    </r>
    <r>
      <rPr>
        <sz val="11"/>
        <color theme="1"/>
        <rFont val="SimSun"/>
        <charset val="128"/>
      </rPr>
      <t>」</t>
    </r>
    <r>
      <rPr>
        <sz val="11"/>
        <color theme="1"/>
        <rFont val="MS Gothic"/>
        <charset val="128"/>
      </rPr>
      <t>に</t>
    </r>
    <r>
      <rPr>
        <sz val="11"/>
        <color theme="1"/>
        <rFont val="SimSun"/>
        <charset val="128"/>
      </rPr>
      <t>記載</t>
    </r>
    <r>
      <rPr>
        <sz val="11"/>
        <color theme="1"/>
        <rFont val="MS Gothic"/>
        <charset val="128"/>
      </rPr>
      <t>しました</t>
    </r>
    <r>
      <rPr>
        <sz val="11"/>
        <color theme="1"/>
        <rFont val="SimSun"/>
        <charset val="128"/>
      </rPr>
      <t>。</t>
    </r>
  </si>
  <si>
    <t>3.1.1</t>
  </si>
  <si>
    <r>
      <t>Table19</t>
    </r>
    <r>
      <rPr>
        <sz val="11"/>
        <color theme="1"/>
        <rFont val="MS Gothic"/>
        <charset val="128"/>
      </rPr>
      <t>が</t>
    </r>
    <r>
      <rPr>
        <sz val="11"/>
        <color theme="1"/>
        <rFont val="Meiryo UI"/>
        <charset val="128"/>
      </rPr>
      <t>No36</t>
    </r>
    <r>
      <rPr>
        <sz val="11"/>
        <color theme="1"/>
        <rFont val="MS Gothic"/>
        <charset val="128"/>
      </rPr>
      <t>の</t>
    </r>
    <r>
      <rPr>
        <sz val="11"/>
        <color theme="1"/>
        <rFont val="SimSun"/>
        <charset val="128"/>
      </rPr>
      <t>回答</t>
    </r>
    <r>
      <rPr>
        <sz val="11"/>
        <color theme="1"/>
        <rFont val="MS Gothic"/>
        <charset val="128"/>
      </rPr>
      <t>に</t>
    </r>
    <r>
      <rPr>
        <sz val="11"/>
        <color theme="1"/>
        <rFont val="SimSun"/>
        <charset val="128"/>
      </rPr>
      <t>沿</t>
    </r>
    <r>
      <rPr>
        <sz val="11"/>
        <color theme="1"/>
        <rFont val="MS Gothic"/>
        <charset val="128"/>
      </rPr>
      <t>った</t>
    </r>
    <r>
      <rPr>
        <sz val="11"/>
        <color theme="1"/>
        <rFont val="SimSun"/>
        <charset val="128"/>
      </rPr>
      <t>表</t>
    </r>
    <r>
      <rPr>
        <sz val="11"/>
        <color theme="1"/>
        <rFont val="MS Gothic"/>
        <charset val="128"/>
      </rPr>
      <t>になっていません</t>
    </r>
    <r>
      <rPr>
        <sz val="11"/>
        <color theme="1"/>
        <rFont val="SimSun"/>
        <charset val="128"/>
      </rPr>
      <t>。</t>
    </r>
    <r>
      <rPr>
        <sz val="11"/>
        <color theme="1"/>
        <rFont val="Meiryo UI"/>
        <charset val="128"/>
      </rPr>
      <t xml:space="preserve">
WCCA</t>
    </r>
    <r>
      <rPr>
        <sz val="11"/>
        <color theme="1"/>
        <rFont val="MS Gothic"/>
        <charset val="128"/>
      </rPr>
      <t>より</t>
    </r>
    <r>
      <rPr>
        <sz val="11"/>
        <color theme="1"/>
        <rFont val="Meiryo UI"/>
        <charset val="128"/>
      </rPr>
      <t>1.84</t>
    </r>
    <r>
      <rPr>
        <sz val="11"/>
        <color theme="1"/>
        <rFont val="SimSun"/>
        <charset val="128"/>
      </rPr>
      <t>％</t>
    </r>
    <r>
      <rPr>
        <sz val="11"/>
        <color theme="1"/>
        <rFont val="MS Gothic"/>
        <charset val="128"/>
      </rPr>
      <t>の</t>
    </r>
    <r>
      <rPr>
        <sz val="11"/>
        <color theme="1"/>
        <rFont val="Meiryo UI"/>
        <charset val="128"/>
      </rPr>
      <t>Range</t>
    </r>
    <r>
      <rPr>
        <sz val="11"/>
        <color theme="1"/>
        <rFont val="MS Gothic"/>
        <charset val="128"/>
      </rPr>
      <t>を</t>
    </r>
    <r>
      <rPr>
        <sz val="11"/>
        <color theme="1"/>
        <rFont val="SimSun"/>
        <charset val="128"/>
      </rPr>
      <t>許容</t>
    </r>
    <r>
      <rPr>
        <sz val="11"/>
        <color theme="1"/>
        <rFont val="MS Gothic"/>
        <charset val="128"/>
      </rPr>
      <t>するなら</t>
    </r>
    <r>
      <rPr>
        <sz val="11"/>
        <color theme="1"/>
        <rFont val="SimSun"/>
        <charset val="128"/>
      </rPr>
      <t>、各基準</t>
    </r>
    <r>
      <rPr>
        <sz val="11"/>
        <color theme="1"/>
        <rFont val="Meiryo UI"/>
        <charset val="128"/>
      </rPr>
      <t>(basis)</t>
    </r>
    <r>
      <rPr>
        <sz val="11"/>
        <color theme="1"/>
        <rFont val="MS Gothic"/>
        <charset val="128"/>
      </rPr>
      <t>の</t>
    </r>
    <r>
      <rPr>
        <sz val="11"/>
        <color theme="1"/>
        <rFont val="SimSun"/>
        <charset val="128"/>
      </rPr>
      <t>値</t>
    </r>
    <r>
      <rPr>
        <sz val="11"/>
        <color theme="1"/>
        <rFont val="MS Gothic"/>
        <charset val="128"/>
      </rPr>
      <t>に</t>
    </r>
    <r>
      <rPr>
        <sz val="11"/>
        <color theme="1"/>
        <rFont val="Meiryo UI"/>
        <charset val="128"/>
      </rPr>
      <t>1.84%</t>
    </r>
    <r>
      <rPr>
        <sz val="11"/>
        <color theme="1"/>
        <rFont val="MS Gothic"/>
        <charset val="128"/>
      </rPr>
      <t>を</t>
    </r>
    <r>
      <rPr>
        <sz val="11"/>
        <color theme="1"/>
        <rFont val="SimSun"/>
        <charset val="128"/>
      </rPr>
      <t>掛</t>
    </r>
    <r>
      <rPr>
        <sz val="11"/>
        <color theme="1"/>
        <rFont val="MS Gothic"/>
        <charset val="128"/>
      </rPr>
      <t>けた</t>
    </r>
    <r>
      <rPr>
        <sz val="11"/>
        <color theme="1"/>
        <rFont val="SimSun"/>
        <charset val="128"/>
      </rPr>
      <t>値</t>
    </r>
    <r>
      <rPr>
        <sz val="11"/>
        <color theme="1"/>
        <rFont val="MS Gothic"/>
        <charset val="128"/>
      </rPr>
      <t>が</t>
    </r>
    <r>
      <rPr>
        <sz val="11"/>
        <color theme="1"/>
        <rFont val="Meiryo UI"/>
        <charset val="128"/>
      </rPr>
      <t>range</t>
    </r>
    <r>
      <rPr>
        <sz val="11"/>
        <color theme="1"/>
        <rFont val="MS Gothic"/>
        <charset val="128"/>
      </rPr>
      <t>となるはずです</t>
    </r>
    <r>
      <rPr>
        <sz val="11"/>
        <color theme="1"/>
        <rFont val="SimSun"/>
        <charset val="128"/>
      </rPr>
      <t>。</t>
    </r>
    <r>
      <rPr>
        <sz val="11"/>
        <color theme="1"/>
        <rFont val="MS Gothic"/>
        <charset val="128"/>
      </rPr>
      <t>しかし</t>
    </r>
    <r>
      <rPr>
        <sz val="11"/>
        <color theme="1"/>
        <rFont val="SimSun"/>
        <charset val="128"/>
      </rPr>
      <t>、</t>
    </r>
    <r>
      <rPr>
        <sz val="11"/>
        <color theme="1"/>
        <rFont val="Meiryo UI"/>
        <charset val="128"/>
      </rPr>
      <t>+1.00V</t>
    </r>
    <r>
      <rPr>
        <sz val="11"/>
        <color theme="1"/>
        <rFont val="MS Gothic"/>
        <charset val="128"/>
      </rPr>
      <t>は</t>
    </r>
    <r>
      <rPr>
        <sz val="11"/>
        <color theme="1"/>
        <rFont val="SimSun"/>
        <charset val="128"/>
      </rPr>
      <t>前回</t>
    </r>
    <r>
      <rPr>
        <sz val="11"/>
        <color theme="1"/>
        <rFont val="MS Gothic"/>
        <charset val="128"/>
      </rPr>
      <t>と</t>
    </r>
    <r>
      <rPr>
        <sz val="11"/>
        <color theme="1"/>
        <rFont val="SimSun"/>
        <charset val="128"/>
      </rPr>
      <t>同</t>
    </r>
    <r>
      <rPr>
        <sz val="11"/>
        <color theme="1"/>
        <rFont val="MS Gothic"/>
        <charset val="128"/>
      </rPr>
      <t>じ</t>
    </r>
    <r>
      <rPr>
        <sz val="11"/>
        <color theme="1"/>
        <rFont val="Meiryo UI"/>
        <charset val="128"/>
      </rPr>
      <t>Range</t>
    </r>
    <r>
      <rPr>
        <sz val="11"/>
        <color theme="1"/>
        <rFont val="SimSun"/>
        <charset val="128"/>
      </rPr>
      <t>。</t>
    </r>
    <r>
      <rPr>
        <sz val="11"/>
        <color theme="1"/>
        <rFont val="MS Gothic"/>
        <charset val="128"/>
      </rPr>
      <t>ほかの</t>
    </r>
    <r>
      <rPr>
        <sz val="11"/>
        <color theme="1"/>
        <rFont val="SimSun"/>
        <charset val="128"/>
      </rPr>
      <t>電圧</t>
    </r>
    <r>
      <rPr>
        <sz val="11"/>
        <color theme="1"/>
        <rFont val="MS Gothic"/>
        <charset val="128"/>
      </rPr>
      <t>は</t>
    </r>
    <r>
      <rPr>
        <sz val="11"/>
        <color theme="1"/>
        <rFont val="Meiryo UI"/>
        <charset val="128"/>
      </rPr>
      <t>1.00V</t>
    </r>
    <r>
      <rPr>
        <sz val="11"/>
        <color theme="1"/>
        <rFont val="MS Gothic"/>
        <charset val="128"/>
      </rPr>
      <t>に</t>
    </r>
    <r>
      <rPr>
        <sz val="11"/>
        <color theme="1"/>
        <rFont val="Meiryo UI"/>
        <charset val="128"/>
      </rPr>
      <t>1.84</t>
    </r>
    <r>
      <rPr>
        <sz val="11"/>
        <color theme="1"/>
        <rFont val="MS Gothic"/>
        <charset val="128"/>
      </rPr>
      <t>を</t>
    </r>
    <r>
      <rPr>
        <sz val="11"/>
        <color theme="1"/>
        <rFont val="SimSun"/>
        <charset val="128"/>
      </rPr>
      <t>掛</t>
    </r>
    <r>
      <rPr>
        <sz val="11"/>
        <color theme="1"/>
        <rFont val="MS Gothic"/>
        <charset val="128"/>
      </rPr>
      <t>けた</t>
    </r>
    <r>
      <rPr>
        <sz val="11"/>
        <color theme="1"/>
        <rFont val="Meiryo UI"/>
        <charset val="128"/>
      </rPr>
      <t>Range</t>
    </r>
    <r>
      <rPr>
        <sz val="11"/>
        <color theme="1"/>
        <rFont val="MS Gothic"/>
        <charset val="128"/>
      </rPr>
      <t>になっています</t>
    </r>
    <r>
      <rPr>
        <sz val="11"/>
        <color theme="1"/>
        <rFont val="SimSun"/>
        <charset val="128"/>
      </rPr>
      <t>。残念</t>
    </r>
    <r>
      <rPr>
        <sz val="11"/>
        <color theme="1"/>
        <rFont val="MS Gothic"/>
        <charset val="128"/>
      </rPr>
      <t>ながら</t>
    </r>
    <r>
      <rPr>
        <sz val="11"/>
        <color theme="1"/>
        <rFont val="SimSun"/>
        <charset val="128"/>
      </rPr>
      <t>、私</t>
    </r>
    <r>
      <rPr>
        <sz val="11"/>
        <color theme="1"/>
        <rFont val="MS Gothic"/>
        <charset val="128"/>
      </rPr>
      <t>には</t>
    </r>
    <r>
      <rPr>
        <sz val="11"/>
        <color theme="1"/>
        <rFont val="Meiryo UI"/>
        <charset val="128"/>
      </rPr>
      <t>Table19</t>
    </r>
    <r>
      <rPr>
        <sz val="11"/>
        <color theme="1"/>
        <rFont val="MS Gothic"/>
        <charset val="128"/>
      </rPr>
      <t>と</t>
    </r>
    <r>
      <rPr>
        <sz val="11"/>
        <color theme="1"/>
        <rFont val="SimSun"/>
        <charset val="128"/>
      </rPr>
      <t>本</t>
    </r>
    <r>
      <rPr>
        <sz val="11"/>
        <color theme="1"/>
        <rFont val="MS Gothic"/>
        <charset val="128"/>
      </rPr>
      <t>シート</t>
    </r>
    <r>
      <rPr>
        <sz val="11"/>
        <color theme="1"/>
        <rFont val="Meiryo UI"/>
        <charset val="128"/>
      </rPr>
      <t>No36</t>
    </r>
    <r>
      <rPr>
        <sz val="11"/>
        <color theme="1"/>
        <rFont val="MS Gothic"/>
        <charset val="128"/>
      </rPr>
      <t>の</t>
    </r>
    <r>
      <rPr>
        <sz val="11"/>
        <color theme="1"/>
        <rFont val="SimSun"/>
        <charset val="128"/>
      </rPr>
      <t>回答</t>
    </r>
    <r>
      <rPr>
        <sz val="11"/>
        <color theme="1"/>
        <rFont val="MS Gothic"/>
        <charset val="128"/>
      </rPr>
      <t>の</t>
    </r>
    <r>
      <rPr>
        <sz val="11"/>
        <color theme="1"/>
        <rFont val="SimSun"/>
        <charset val="128"/>
      </rPr>
      <t>意味</t>
    </r>
    <r>
      <rPr>
        <sz val="11"/>
        <color theme="1"/>
        <rFont val="MS Gothic"/>
        <charset val="128"/>
      </rPr>
      <t>が</t>
    </r>
    <r>
      <rPr>
        <sz val="11"/>
        <color theme="1"/>
        <rFont val="SimSun"/>
        <charset val="128"/>
      </rPr>
      <t>分</t>
    </r>
    <r>
      <rPr>
        <sz val="11"/>
        <color theme="1"/>
        <rFont val="MS Gothic"/>
        <charset val="128"/>
      </rPr>
      <t>かりません</t>
    </r>
    <r>
      <rPr>
        <sz val="11"/>
        <color theme="1"/>
        <rFont val="SimSun"/>
        <charset val="128"/>
      </rPr>
      <t>。</t>
    </r>
    <r>
      <rPr>
        <b/>
        <sz val="11"/>
        <color theme="1"/>
        <rFont val="SimSun"/>
        <charset val="128"/>
      </rPr>
      <t>作成者、</t>
    </r>
    <r>
      <rPr>
        <b/>
        <sz val="11"/>
        <color theme="1"/>
        <rFont val="MS Gothic"/>
        <charset val="128"/>
      </rPr>
      <t>レビュー</t>
    </r>
    <r>
      <rPr>
        <b/>
        <sz val="11"/>
        <color theme="1"/>
        <rFont val="SimSun"/>
        <charset val="128"/>
      </rPr>
      <t>者、承認者。</t>
    </r>
    <r>
      <rPr>
        <b/>
        <sz val="11"/>
        <color theme="1"/>
        <rFont val="MS Gothic"/>
        <charset val="128"/>
      </rPr>
      <t>プロセスが</t>
    </r>
    <r>
      <rPr>
        <b/>
        <sz val="11"/>
        <color theme="1"/>
        <rFont val="SimSun"/>
        <charset val="128"/>
      </rPr>
      <t>機能</t>
    </r>
    <r>
      <rPr>
        <b/>
        <sz val="11"/>
        <color theme="1"/>
        <rFont val="MS Gothic"/>
        <charset val="128"/>
      </rPr>
      <t>していないと</t>
    </r>
    <r>
      <rPr>
        <b/>
        <sz val="11"/>
        <color theme="1"/>
        <rFont val="SimSun"/>
        <charset val="128"/>
      </rPr>
      <t>判断</t>
    </r>
    <r>
      <rPr>
        <b/>
        <sz val="11"/>
        <color theme="1"/>
        <rFont val="MS Gothic"/>
        <charset val="128"/>
      </rPr>
      <t>します</t>
    </r>
    <r>
      <rPr>
        <b/>
        <sz val="11"/>
        <color theme="1"/>
        <rFont val="SimSun"/>
        <charset val="128"/>
      </rPr>
      <t>。</t>
    </r>
    <r>
      <rPr>
        <sz val="11"/>
        <color theme="1"/>
        <rFont val="Meiryo UI"/>
        <charset val="128"/>
      </rPr>
      <t xml:space="preserve">
</t>
    </r>
  </si>
  <si>
    <r>
      <t xml:space="preserve">
Table 19 was wrongly updated with 0.0184 and 0.200V. It should be ±1.84</t>
    </r>
    <r>
      <rPr>
        <sz val="11"/>
        <color rgb="FF0070C0"/>
        <rFont val="SimSun"/>
        <charset val="134"/>
      </rPr>
      <t>％</t>
    </r>
    <r>
      <rPr>
        <sz val="11"/>
        <color rgb="FF0070C0"/>
        <rFont val="Meiryo UI"/>
        <charset val="134"/>
      </rPr>
      <t xml:space="preserve"> it was correctly updated in the result table. Table 21.</t>
    </r>
  </si>
  <si>
    <r>
      <t>No34</t>
    </r>
    <r>
      <rPr>
        <sz val="11"/>
        <color theme="1"/>
        <rFont val="MS Gothic"/>
        <charset val="134"/>
      </rPr>
      <t>の</t>
    </r>
    <r>
      <rPr>
        <sz val="11"/>
        <color theme="1"/>
        <rFont val="SimSun"/>
        <charset val="134"/>
      </rPr>
      <t>丸</t>
    </r>
    <r>
      <rPr>
        <sz val="11"/>
        <color theme="1"/>
        <rFont val="MS Gothic"/>
        <charset val="134"/>
      </rPr>
      <t>め</t>
    </r>
    <r>
      <rPr>
        <sz val="11"/>
        <color theme="1"/>
        <rFont val="SimSun"/>
        <charset val="134"/>
      </rPr>
      <t>方</t>
    </r>
    <r>
      <rPr>
        <sz val="11"/>
        <color theme="1"/>
        <rFont val="MS Gothic"/>
        <charset val="134"/>
      </rPr>
      <t>について</t>
    </r>
    <r>
      <rPr>
        <sz val="11"/>
        <color theme="1"/>
        <rFont val="SimSun"/>
        <charset val="134"/>
      </rPr>
      <t>、</t>
    </r>
    <r>
      <rPr>
        <sz val="11"/>
        <color theme="1"/>
        <rFont val="Meiryo UI"/>
        <charset val="134"/>
      </rPr>
      <t>Excel</t>
    </r>
    <r>
      <rPr>
        <sz val="11"/>
        <color theme="1"/>
        <rFont val="SimSun"/>
        <charset val="134"/>
      </rPr>
      <t>関数</t>
    </r>
    <r>
      <rPr>
        <sz val="11"/>
        <color theme="1"/>
        <rFont val="MS Gothic"/>
        <charset val="134"/>
      </rPr>
      <t>で</t>
    </r>
    <r>
      <rPr>
        <sz val="11"/>
        <color theme="1"/>
        <rFont val="SimSun"/>
        <charset val="134"/>
      </rPr>
      <t>考</t>
    </r>
    <r>
      <rPr>
        <sz val="11"/>
        <color theme="1"/>
        <rFont val="MS Gothic"/>
        <charset val="134"/>
      </rPr>
      <t>えると</t>
    </r>
    <r>
      <rPr>
        <sz val="11"/>
        <color theme="1"/>
        <rFont val="Meiryo UI"/>
        <charset val="134"/>
      </rPr>
      <t>ROUND,ROUNDUP,ROUNDDOWN</t>
    </r>
    <r>
      <rPr>
        <sz val="11"/>
        <color theme="1"/>
        <rFont val="MS Gothic"/>
        <charset val="134"/>
      </rPr>
      <t>のいずれの</t>
    </r>
    <r>
      <rPr>
        <sz val="11"/>
        <color theme="1"/>
        <rFont val="SimSun"/>
        <charset val="134"/>
      </rPr>
      <t>方式</t>
    </r>
    <r>
      <rPr>
        <sz val="11"/>
        <color theme="1"/>
        <rFont val="MS Gothic"/>
        <charset val="134"/>
      </rPr>
      <t>を</t>
    </r>
    <r>
      <rPr>
        <sz val="11"/>
        <color theme="1"/>
        <rFont val="SimSun"/>
        <charset val="134"/>
      </rPr>
      <t>適用</t>
    </r>
    <r>
      <rPr>
        <sz val="11"/>
        <color theme="1"/>
        <rFont val="MS Gothic"/>
        <charset val="134"/>
      </rPr>
      <t>していますか</t>
    </r>
    <r>
      <rPr>
        <sz val="11"/>
        <color theme="1"/>
        <rFont val="SimSun"/>
        <charset val="134"/>
      </rPr>
      <t>。</t>
    </r>
    <r>
      <rPr>
        <sz val="11"/>
        <color theme="1"/>
        <rFont val="Meiryo UI"/>
        <charset val="134"/>
      </rPr>
      <t xml:space="preserve">
</t>
    </r>
    <r>
      <rPr>
        <sz val="11"/>
        <color theme="1"/>
        <rFont val="SimSun"/>
        <charset val="134"/>
      </rPr>
      <t>例</t>
    </r>
    <r>
      <rPr>
        <sz val="11"/>
        <color theme="1"/>
        <rFont val="MS Gothic"/>
        <charset val="134"/>
      </rPr>
      <t>えば</t>
    </r>
    <r>
      <rPr>
        <sz val="11"/>
        <color theme="1"/>
        <rFont val="SimSun"/>
        <charset val="134"/>
      </rPr>
      <t>、</t>
    </r>
    <r>
      <rPr>
        <sz val="11"/>
        <color theme="1"/>
        <rFont val="Meiryo UI"/>
        <charset val="134"/>
      </rPr>
      <t>Table21</t>
    </r>
    <r>
      <rPr>
        <sz val="11"/>
        <color theme="1"/>
        <rFont val="MS Gothic"/>
        <charset val="134"/>
      </rPr>
      <t>については</t>
    </r>
    <r>
      <rPr>
        <sz val="11"/>
        <color theme="1"/>
        <rFont val="SimSun"/>
        <charset val="134"/>
      </rPr>
      <t>測定値</t>
    </r>
    <r>
      <rPr>
        <sz val="11"/>
        <color theme="1"/>
        <rFont val="MS Gothic"/>
        <charset val="134"/>
      </rPr>
      <t>の</t>
    </r>
    <r>
      <rPr>
        <sz val="11"/>
        <color theme="1"/>
        <rFont val="SimSun"/>
        <charset val="134"/>
      </rPr>
      <t>丸</t>
    </r>
    <r>
      <rPr>
        <sz val="11"/>
        <color theme="1"/>
        <rFont val="MS Gothic"/>
        <charset val="134"/>
      </rPr>
      <t>め</t>
    </r>
    <r>
      <rPr>
        <sz val="11"/>
        <color theme="1"/>
        <rFont val="SimSun"/>
        <charset val="134"/>
      </rPr>
      <t>方</t>
    </r>
    <r>
      <rPr>
        <sz val="11"/>
        <color theme="1"/>
        <rFont val="MS Gothic"/>
        <charset val="134"/>
      </rPr>
      <t>に</t>
    </r>
    <r>
      <rPr>
        <sz val="11"/>
        <color theme="1"/>
        <rFont val="SimSun"/>
        <charset val="134"/>
      </rPr>
      <t>統一感</t>
    </r>
    <r>
      <rPr>
        <sz val="11"/>
        <color theme="1"/>
        <rFont val="MS Gothic"/>
        <charset val="134"/>
      </rPr>
      <t>がありません</t>
    </r>
    <r>
      <rPr>
        <sz val="11"/>
        <color theme="1"/>
        <rFont val="SimSun"/>
        <charset val="134"/>
      </rPr>
      <t>。</t>
    </r>
    <r>
      <rPr>
        <sz val="11"/>
        <color theme="1"/>
        <rFont val="Meiryo UI"/>
        <charset val="134"/>
      </rPr>
      <t xml:space="preserve">
</t>
    </r>
    <r>
      <rPr>
        <sz val="11"/>
        <color theme="1"/>
        <rFont val="SimSun"/>
        <charset val="134"/>
      </rPr>
      <t>以下</t>
    </r>
    <r>
      <rPr>
        <sz val="11"/>
        <color theme="1"/>
        <rFont val="MS Gothic"/>
        <charset val="134"/>
      </rPr>
      <t>の</t>
    </r>
    <r>
      <rPr>
        <sz val="11"/>
        <color theme="1"/>
        <rFont val="SimSun"/>
        <charset val="134"/>
      </rPr>
      <t>表</t>
    </r>
    <r>
      <rPr>
        <sz val="11"/>
        <color theme="1"/>
        <rFont val="MS Gothic"/>
        <charset val="134"/>
      </rPr>
      <t>で</t>
    </r>
    <r>
      <rPr>
        <sz val="11"/>
        <color theme="1"/>
        <rFont val="SimSun"/>
        <charset val="134"/>
      </rPr>
      <t>黄色</t>
    </r>
    <r>
      <rPr>
        <sz val="11"/>
        <color theme="1"/>
        <rFont val="MS Gothic"/>
        <charset val="134"/>
      </rPr>
      <t>が</t>
    </r>
    <r>
      <rPr>
        <sz val="11"/>
        <color theme="1"/>
        <rFont val="Meiryo UI"/>
        <charset val="134"/>
      </rPr>
      <t>TechM</t>
    </r>
    <r>
      <rPr>
        <sz val="11"/>
        <color theme="1"/>
        <rFont val="MS Gothic"/>
        <charset val="134"/>
      </rPr>
      <t>の</t>
    </r>
    <r>
      <rPr>
        <sz val="11"/>
        <color theme="1"/>
        <rFont val="Meiryo UI"/>
        <charset val="134"/>
      </rPr>
      <t>ROUND</t>
    </r>
    <r>
      <rPr>
        <sz val="11"/>
        <color theme="1"/>
        <rFont val="SimSun"/>
        <charset val="134"/>
      </rPr>
      <t>結果</t>
    </r>
    <r>
      <rPr>
        <sz val="11"/>
        <color theme="1"/>
        <rFont val="MS Gothic"/>
        <charset val="134"/>
      </rPr>
      <t>と</t>
    </r>
    <r>
      <rPr>
        <sz val="11"/>
        <color theme="1"/>
        <rFont val="SimSun"/>
        <charset val="134"/>
      </rPr>
      <t>一致</t>
    </r>
    <r>
      <rPr>
        <sz val="11"/>
        <color theme="1"/>
        <rFont val="MS Gothic"/>
        <charset val="134"/>
      </rPr>
      <t>するセルになります</t>
    </r>
    <r>
      <rPr>
        <sz val="11"/>
        <color theme="1"/>
        <rFont val="SimSun"/>
        <charset val="134"/>
      </rPr>
      <t>。</t>
    </r>
    <r>
      <rPr>
        <sz val="11"/>
        <color theme="1"/>
        <rFont val="MS Gothic"/>
        <charset val="134"/>
      </rPr>
      <t>どの</t>
    </r>
    <r>
      <rPr>
        <sz val="11"/>
        <color theme="1"/>
        <rFont val="Meiryo UI"/>
        <charset val="134"/>
      </rPr>
      <t>ROUND</t>
    </r>
    <r>
      <rPr>
        <sz val="11"/>
        <color theme="1"/>
        <rFont val="SimSun"/>
        <charset val="134"/>
      </rPr>
      <t>関数</t>
    </r>
    <r>
      <rPr>
        <sz val="11"/>
        <color theme="1"/>
        <rFont val="MS Gothic"/>
        <charset val="134"/>
      </rPr>
      <t>を</t>
    </r>
    <r>
      <rPr>
        <sz val="11"/>
        <color theme="1"/>
        <rFont val="SimSun"/>
        <charset val="134"/>
      </rPr>
      <t>使用</t>
    </r>
    <r>
      <rPr>
        <sz val="11"/>
        <color theme="1"/>
        <rFont val="MS Gothic"/>
        <charset val="134"/>
      </rPr>
      <t>したのか</t>
    </r>
    <r>
      <rPr>
        <sz val="11"/>
        <color theme="1"/>
        <rFont val="SimSun"/>
        <charset val="134"/>
      </rPr>
      <t>、不明確</t>
    </r>
    <r>
      <rPr>
        <sz val="11"/>
        <color theme="1"/>
        <rFont val="MS Gothic"/>
        <charset val="134"/>
      </rPr>
      <t>なことがよくわかると</t>
    </r>
    <r>
      <rPr>
        <sz val="11"/>
        <color theme="1"/>
        <rFont val="SimSun"/>
        <charset val="134"/>
      </rPr>
      <t>思</t>
    </r>
    <r>
      <rPr>
        <sz val="11"/>
        <color theme="1"/>
        <rFont val="MS Gothic"/>
        <charset val="134"/>
      </rPr>
      <t>います</t>
    </r>
    <r>
      <rPr>
        <sz val="11"/>
        <color theme="1"/>
        <rFont val="SimSun"/>
        <charset val="134"/>
      </rPr>
      <t>。</t>
    </r>
  </si>
  <si>
    <t>We have followed the traditional round of criteria, i.e. any 4-digit number &gt;=5, the third digit has been rounded up to the upper number, e.g. 0.1235 has been rounded to 0.124, similarly 0.1234 is rounded up to 0.123  and 0.1238 has been rounded to 0.124. For 2 values in that table, rounding was not properly done; it has been updated now.</t>
  </si>
  <si>
    <t>3.1.5</t>
  </si>
  <si>
    <r>
      <t>Correct: within the ±1.84% tolerance range
Incorrect (Rev0.5)</t>
    </r>
    <r>
      <rPr>
        <sz val="11"/>
        <color theme="1"/>
        <rFont val="SimSun"/>
        <charset val="128"/>
      </rPr>
      <t>：</t>
    </r>
    <r>
      <rPr>
        <sz val="11"/>
        <color theme="1"/>
        <rFont val="Meiryo UI"/>
        <charset val="128"/>
      </rPr>
      <t>within the ±0.0184V tolerance range</t>
    </r>
  </si>
  <si>
    <t>Agreed we changed to ±1.84%</t>
  </si>
  <si>
    <t>3.2.1</t>
  </si>
  <si>
    <r>
      <t>1.74</t>
    </r>
    <r>
      <rPr>
        <sz val="11"/>
        <color theme="1"/>
        <rFont val="SimSun"/>
        <charset val="128"/>
      </rPr>
      <t>％</t>
    </r>
    <r>
      <rPr>
        <sz val="11"/>
        <color theme="1"/>
        <rFont val="MS Gothic"/>
        <charset val="128"/>
      </rPr>
      <t>の</t>
    </r>
    <r>
      <rPr>
        <sz val="11"/>
        <color theme="1"/>
        <rFont val="Meiryo UI"/>
        <charset val="128"/>
      </rPr>
      <t>Range</t>
    </r>
    <r>
      <rPr>
        <sz val="11"/>
        <color theme="1"/>
        <rFont val="MS Gothic"/>
        <charset val="128"/>
      </rPr>
      <t>であれば</t>
    </r>
    <r>
      <rPr>
        <sz val="11"/>
        <color theme="1"/>
        <rFont val="Meiryo UI"/>
        <charset val="128"/>
      </rPr>
      <t>Table22</t>
    </r>
    <r>
      <rPr>
        <sz val="11"/>
        <color theme="1"/>
        <rFont val="MS Gothic"/>
        <charset val="128"/>
      </rPr>
      <t>の</t>
    </r>
    <r>
      <rPr>
        <sz val="11"/>
        <color theme="1"/>
        <rFont val="SimSun"/>
        <charset val="128"/>
      </rPr>
      <t>値</t>
    </r>
    <r>
      <rPr>
        <sz val="11"/>
        <color theme="1"/>
        <rFont val="MS Gothic"/>
        <charset val="128"/>
      </rPr>
      <t>は</t>
    </r>
    <r>
      <rPr>
        <sz val="11"/>
        <color theme="1"/>
        <rFont val="SimSun"/>
        <charset val="128"/>
      </rPr>
      <t>異</t>
    </r>
    <r>
      <rPr>
        <sz val="11"/>
        <color theme="1"/>
        <rFont val="MS Gothic"/>
        <charset val="128"/>
      </rPr>
      <t>なります</t>
    </r>
    <r>
      <rPr>
        <sz val="11"/>
        <color theme="1"/>
        <rFont val="SimSun"/>
        <charset val="128"/>
      </rPr>
      <t>。</t>
    </r>
    <r>
      <rPr>
        <sz val="11"/>
        <color theme="1"/>
        <rFont val="Meiryo UI"/>
        <charset val="128"/>
      </rPr>
      <t xml:space="preserve">
No45</t>
    </r>
    <r>
      <rPr>
        <sz val="11"/>
        <color theme="1"/>
        <rFont val="MS Gothic"/>
        <charset val="128"/>
      </rPr>
      <t>と</t>
    </r>
    <r>
      <rPr>
        <sz val="11"/>
        <color theme="1"/>
        <rFont val="SimSun"/>
        <charset val="128"/>
      </rPr>
      <t>同様</t>
    </r>
    <r>
      <rPr>
        <sz val="11"/>
        <color theme="1"/>
        <rFont val="MS Gothic"/>
        <charset val="128"/>
      </rPr>
      <t>の</t>
    </r>
    <r>
      <rPr>
        <sz val="11"/>
        <color theme="1"/>
        <rFont val="SimSun"/>
        <charset val="128"/>
      </rPr>
      <t>指摘</t>
    </r>
    <r>
      <rPr>
        <sz val="11"/>
        <color theme="1"/>
        <rFont val="MS Gothic"/>
        <charset val="128"/>
      </rPr>
      <t>ですが</t>
    </r>
    <r>
      <rPr>
        <sz val="11"/>
        <color theme="1"/>
        <rFont val="SimSun"/>
        <charset val="128"/>
      </rPr>
      <t>、</t>
    </r>
    <r>
      <rPr>
        <sz val="11"/>
        <color theme="1"/>
        <rFont val="MS Gothic"/>
        <charset val="128"/>
      </rPr>
      <t>こちらは</t>
    </r>
    <r>
      <rPr>
        <sz val="11"/>
        <color theme="1"/>
        <rFont val="Meiryo UI"/>
        <charset val="128"/>
      </rPr>
      <t>0.087</t>
    </r>
    <r>
      <rPr>
        <sz val="11"/>
        <color theme="1"/>
        <rFont val="MS Gothic"/>
        <charset val="128"/>
      </rPr>
      <t>がどのように</t>
    </r>
    <r>
      <rPr>
        <sz val="11"/>
        <color theme="1"/>
        <rFont val="SimSun"/>
        <charset val="128"/>
      </rPr>
      <t>算出</t>
    </r>
    <r>
      <rPr>
        <sz val="11"/>
        <color theme="1"/>
        <rFont val="MS Gothic"/>
        <charset val="128"/>
      </rPr>
      <t>されたか</t>
    </r>
    <r>
      <rPr>
        <sz val="11"/>
        <color theme="1"/>
        <rFont val="SimSun"/>
        <charset val="128"/>
      </rPr>
      <t>推測</t>
    </r>
    <r>
      <rPr>
        <sz val="11"/>
        <color theme="1"/>
        <rFont val="MS Gothic"/>
        <charset val="128"/>
      </rPr>
      <t>できません</t>
    </r>
    <r>
      <rPr>
        <sz val="11"/>
        <color theme="1"/>
        <rFont val="SimSun"/>
        <charset val="128"/>
      </rPr>
      <t>。</t>
    </r>
  </si>
  <si>
    <r>
      <t>Table 22 was wrongly updated with ±0.087; it should be ±1.74</t>
    </r>
    <r>
      <rPr>
        <sz val="11"/>
        <color rgb="FF0070C0"/>
        <rFont val="SimSun"/>
        <charset val="134"/>
      </rPr>
      <t>％</t>
    </r>
    <r>
      <rPr>
        <sz val="11"/>
        <color rgb="FF0070C0"/>
        <rFont val="Meiryo UI"/>
        <charset val="134"/>
      </rPr>
      <t>. It was correctly updated in the result table. Table 24.</t>
    </r>
  </si>
  <si>
    <t>3.1.2
3.2.2
3.3.4</t>
  </si>
  <si>
    <r>
      <t>1)Table20</t>
    </r>
    <r>
      <rPr>
        <sz val="11"/>
        <color theme="1"/>
        <rFont val="MS Gothic"/>
        <charset val="128"/>
      </rPr>
      <t>のタイトルに</t>
    </r>
    <r>
      <rPr>
        <sz val="11"/>
        <color theme="1"/>
        <rFont val="SimSun"/>
        <charset val="128"/>
      </rPr>
      <t>誤記</t>
    </r>
    <r>
      <rPr>
        <sz val="11"/>
        <color theme="1"/>
        <rFont val="MS Gothic"/>
        <charset val="128"/>
      </rPr>
      <t>があります</t>
    </r>
    <r>
      <rPr>
        <sz val="11"/>
        <color theme="1"/>
        <rFont val="SimSun"/>
        <charset val="128"/>
      </rPr>
      <t>。</t>
    </r>
    <r>
      <rPr>
        <sz val="11"/>
        <color theme="1"/>
        <rFont val="Meiryo UI"/>
        <charset val="128"/>
      </rPr>
      <t xml:space="preserve">
2)Table20</t>
    </r>
    <r>
      <rPr>
        <sz val="11"/>
        <color theme="1"/>
        <rFont val="MS Gothic"/>
        <charset val="128"/>
      </rPr>
      <t>と</t>
    </r>
    <r>
      <rPr>
        <sz val="11"/>
        <color theme="1"/>
        <rFont val="Meiryo UI"/>
        <charset val="128"/>
      </rPr>
      <t>Table23</t>
    </r>
    <r>
      <rPr>
        <sz val="11"/>
        <color theme="1"/>
        <rFont val="SimSun"/>
        <charset val="128"/>
      </rPr>
      <t>、</t>
    </r>
    <r>
      <rPr>
        <sz val="11"/>
        <color theme="1"/>
        <rFont val="Meiryo UI"/>
        <charset val="128"/>
      </rPr>
      <t>Table27</t>
    </r>
    <r>
      <rPr>
        <sz val="11"/>
        <color theme="1"/>
        <rFont val="MS Gothic"/>
        <charset val="128"/>
      </rPr>
      <t>で</t>
    </r>
    <r>
      <rPr>
        <sz val="11"/>
        <color theme="1"/>
        <rFont val="Meiryo UI"/>
        <charset val="128"/>
      </rPr>
      <t>SupplyVoltage</t>
    </r>
    <r>
      <rPr>
        <sz val="11"/>
        <color theme="1"/>
        <rFont val="MS Gothic"/>
        <charset val="128"/>
      </rPr>
      <t>の</t>
    </r>
    <r>
      <rPr>
        <sz val="11"/>
        <color theme="1"/>
        <rFont val="SimSun"/>
        <charset val="128"/>
      </rPr>
      <t>表</t>
    </r>
    <r>
      <rPr>
        <sz val="11"/>
        <color theme="1"/>
        <rFont val="MS Gothic"/>
        <charset val="128"/>
      </rPr>
      <t>がありますが</t>
    </r>
    <r>
      <rPr>
        <sz val="11"/>
        <color theme="1"/>
        <rFont val="SimSun"/>
        <charset val="128"/>
      </rPr>
      <t>、記載</t>
    </r>
    <r>
      <rPr>
        <sz val="11"/>
        <color theme="1"/>
        <rFont val="MS Gothic"/>
        <charset val="128"/>
      </rPr>
      <t>が</t>
    </r>
    <r>
      <rPr>
        <sz val="11"/>
        <color theme="1"/>
        <rFont val="SimSun"/>
        <charset val="128"/>
      </rPr>
      <t>異</t>
    </r>
    <r>
      <rPr>
        <sz val="11"/>
        <color theme="1"/>
        <rFont val="MS Gothic"/>
        <charset val="128"/>
      </rPr>
      <t>なります</t>
    </r>
    <r>
      <rPr>
        <sz val="11"/>
        <color theme="1"/>
        <rFont val="SimSun"/>
        <charset val="128"/>
      </rPr>
      <t>。桁数、公差有無。</t>
    </r>
  </si>
  <si>
    <t xml:space="preserve">1) Table 20 lable  updated to DC-DC 
2) Table 20,23,27 are now updated to maintain consistency  to 3 digit </t>
  </si>
  <si>
    <t>3.2.5</t>
  </si>
  <si>
    <t>Correct: within the ±1.74% tolerance range
Incorrect (Rev0.5)：within the ±0.0174V tolerance range</t>
  </si>
  <si>
    <t>Agreed we changed to ±1.74%</t>
  </si>
  <si>
    <t>3.4.1</t>
  </si>
  <si>
    <r>
      <t>0.38</t>
    </r>
    <r>
      <rPr>
        <sz val="11"/>
        <color theme="1"/>
        <rFont val="SimSun"/>
        <charset val="128"/>
      </rPr>
      <t>％</t>
    </r>
    <r>
      <rPr>
        <sz val="11"/>
        <color theme="1"/>
        <rFont val="MS Gothic"/>
        <charset val="128"/>
      </rPr>
      <t>の</t>
    </r>
    <r>
      <rPr>
        <sz val="11"/>
        <color theme="1"/>
        <rFont val="Meiryo UI"/>
        <charset val="128"/>
      </rPr>
      <t>Range</t>
    </r>
    <r>
      <rPr>
        <sz val="11"/>
        <color theme="1"/>
        <rFont val="MS Gothic"/>
        <charset val="128"/>
      </rPr>
      <t>であれば</t>
    </r>
    <r>
      <rPr>
        <sz val="11"/>
        <color theme="1"/>
        <rFont val="Meiryo UI"/>
        <charset val="128"/>
      </rPr>
      <t>Table61</t>
    </r>
    <r>
      <rPr>
        <sz val="11"/>
        <color theme="1"/>
        <rFont val="MS Gothic"/>
        <charset val="128"/>
      </rPr>
      <t>の</t>
    </r>
    <r>
      <rPr>
        <sz val="11"/>
        <color theme="1"/>
        <rFont val="SimSun"/>
        <charset val="128"/>
      </rPr>
      <t>値</t>
    </r>
    <r>
      <rPr>
        <sz val="11"/>
        <color theme="1"/>
        <rFont val="MS Gothic"/>
        <charset val="128"/>
      </rPr>
      <t>も</t>
    </r>
    <r>
      <rPr>
        <sz val="11"/>
        <color theme="1"/>
        <rFont val="SimSun"/>
        <charset val="128"/>
      </rPr>
      <t>異</t>
    </r>
    <r>
      <rPr>
        <sz val="11"/>
        <color theme="1"/>
        <rFont val="MS Gothic"/>
        <charset val="128"/>
      </rPr>
      <t>なります</t>
    </r>
    <r>
      <rPr>
        <sz val="11"/>
        <color theme="1"/>
        <rFont val="SimSun"/>
        <charset val="128"/>
      </rPr>
      <t>。</t>
    </r>
  </si>
  <si>
    <r>
      <t>Table 61 was wrongly updated with ±1</t>
    </r>
    <r>
      <rPr>
        <sz val="11"/>
        <color rgb="FF0070C0"/>
        <rFont val="SimSun"/>
        <charset val="134"/>
      </rPr>
      <t>％</t>
    </r>
    <r>
      <rPr>
        <sz val="11"/>
        <color rgb="FF0070C0"/>
        <rFont val="Meiryo UI"/>
        <charset val="134"/>
      </rPr>
      <t xml:space="preserve"> it was correctly updated in all the results tables with the value  ±0.38</t>
    </r>
    <r>
      <rPr>
        <sz val="11"/>
        <color rgb="FF0070C0"/>
        <rFont val="SimSun"/>
        <charset val="134"/>
      </rPr>
      <t>％</t>
    </r>
    <r>
      <rPr>
        <sz val="11"/>
        <color rgb="FF0070C0"/>
        <rFont val="Meiryo UI"/>
        <charset val="134"/>
      </rPr>
      <t>. Now, Table 61 is also updated to align with the results table.</t>
    </r>
  </si>
  <si>
    <t>3.5.1</t>
  </si>
  <si>
    <r>
      <t>12.5</t>
    </r>
    <r>
      <rPr>
        <sz val="11"/>
        <color theme="1"/>
        <rFont val="SimSun"/>
        <charset val="134"/>
      </rPr>
      <t>％</t>
    </r>
    <r>
      <rPr>
        <sz val="11"/>
        <color theme="1"/>
        <rFont val="MS Gothic"/>
        <charset val="134"/>
      </rPr>
      <t>の</t>
    </r>
    <r>
      <rPr>
        <sz val="11"/>
        <color theme="1"/>
        <rFont val="Meiryo UI"/>
        <charset val="134"/>
      </rPr>
      <t>Range</t>
    </r>
    <r>
      <rPr>
        <sz val="11"/>
        <color theme="1"/>
        <rFont val="MS Gothic"/>
        <charset val="134"/>
      </rPr>
      <t>であれば</t>
    </r>
    <r>
      <rPr>
        <sz val="11"/>
        <color theme="1"/>
        <rFont val="Meiryo UI"/>
        <charset val="134"/>
      </rPr>
      <t>Table77</t>
    </r>
    <r>
      <rPr>
        <sz val="11"/>
        <color theme="1"/>
        <rFont val="MS Gothic"/>
        <charset val="134"/>
      </rPr>
      <t>の</t>
    </r>
    <r>
      <rPr>
        <sz val="11"/>
        <color theme="1"/>
        <rFont val="SimSun"/>
        <charset val="134"/>
      </rPr>
      <t>値</t>
    </r>
    <r>
      <rPr>
        <sz val="11"/>
        <color theme="1"/>
        <rFont val="MS Gothic"/>
        <charset val="134"/>
      </rPr>
      <t>も</t>
    </r>
    <r>
      <rPr>
        <sz val="11"/>
        <color theme="1"/>
        <rFont val="SimSun"/>
        <charset val="134"/>
      </rPr>
      <t>異</t>
    </r>
    <r>
      <rPr>
        <sz val="11"/>
        <color theme="1"/>
        <rFont val="MS Gothic"/>
        <charset val="134"/>
      </rPr>
      <t>なります</t>
    </r>
    <r>
      <rPr>
        <sz val="11"/>
        <color theme="1"/>
        <rFont val="SimSun"/>
        <charset val="134"/>
      </rPr>
      <t>。</t>
    </r>
  </si>
  <si>
    <t>Table 77 was wrongly updated with (11.760V to 12.240V); it was correctly updated in all the results tables with the value  (10.500V to 13.500V). Now, table 77 is also updated to align with the result table 78.</t>
  </si>
  <si>
    <t>3.8.1
3.8.4</t>
  </si>
  <si>
    <r>
      <t>Based on the AP63205Q WCCA, the regulated 5.000V output is required to remain within 4.920V to 4.970V, and AP63205Q datasheet the typical 12.000 V to 5.000 V, ripple waveform (50 mV/div) shows approximately 3 divisions of ripple, corresponding to ~150 mV p-p in datasheet. Therefore, acceptance limits of 5.000 V (4.920V to 4.970V) and ≤150 mV p-p were chosen.
IC</t>
    </r>
    <r>
      <rPr>
        <sz val="11"/>
        <color theme="1"/>
        <rFont val="MS Gothic"/>
        <charset val="134"/>
      </rPr>
      <t>から</t>
    </r>
    <r>
      <rPr>
        <sz val="11"/>
        <color theme="1"/>
        <rFont val="Meiryo UI"/>
        <charset val="134"/>
      </rPr>
      <t>5V</t>
    </r>
    <r>
      <rPr>
        <sz val="11"/>
        <color theme="1"/>
        <rFont val="SimSun"/>
        <charset val="134"/>
      </rPr>
      <t>出力</t>
    </r>
    <r>
      <rPr>
        <sz val="11"/>
        <color theme="1"/>
        <rFont val="MS Gothic"/>
        <charset val="134"/>
      </rPr>
      <t>のラインを</t>
    </r>
    <r>
      <rPr>
        <sz val="11"/>
        <color theme="1"/>
        <rFont val="SimSun"/>
        <charset val="134"/>
      </rPr>
      <t>測定</t>
    </r>
    <r>
      <rPr>
        <sz val="11"/>
        <color theme="1"/>
        <rFont val="MS Gothic"/>
        <charset val="134"/>
      </rPr>
      <t>していますが</t>
    </r>
    <r>
      <rPr>
        <sz val="11"/>
        <color theme="1"/>
        <rFont val="SimSun"/>
        <charset val="134"/>
      </rPr>
      <t>、</t>
    </r>
    <r>
      <rPr>
        <sz val="11"/>
        <color theme="1"/>
        <rFont val="MS Gothic"/>
        <charset val="134"/>
      </rPr>
      <t>クライテリアが</t>
    </r>
    <r>
      <rPr>
        <sz val="11"/>
        <color theme="1"/>
        <rFont val="Meiryo UI"/>
        <charset val="134"/>
      </rPr>
      <t xml:space="preserve">(4.920V to 4.970V) </t>
    </r>
    <r>
      <rPr>
        <sz val="11"/>
        <color theme="1"/>
        <rFont val="MS Gothic"/>
        <charset val="134"/>
      </rPr>
      <t>になっております</t>
    </r>
    <r>
      <rPr>
        <sz val="11"/>
        <color theme="1"/>
        <rFont val="SimSun"/>
        <charset val="134"/>
      </rPr>
      <t>。前</t>
    </r>
    <r>
      <rPr>
        <sz val="11"/>
        <color theme="1"/>
        <rFont val="MS Gothic"/>
        <charset val="134"/>
      </rPr>
      <t>の</t>
    </r>
    <r>
      <rPr>
        <sz val="11"/>
        <color theme="1"/>
        <rFont val="Meiryo UI"/>
        <charset val="134"/>
      </rPr>
      <t>Rev</t>
    </r>
    <r>
      <rPr>
        <sz val="11"/>
        <color theme="1"/>
        <rFont val="MS Gothic"/>
        <charset val="134"/>
      </rPr>
      <t>では</t>
    </r>
    <r>
      <rPr>
        <sz val="11"/>
        <color theme="1"/>
        <rFont val="Meiryo UI"/>
        <charset val="134"/>
      </rPr>
      <t>5.0 V ±1% (4.95–5.05 V)</t>
    </r>
    <r>
      <rPr>
        <sz val="11"/>
        <color theme="1"/>
        <rFont val="MS Gothic"/>
        <charset val="134"/>
      </rPr>
      <t>のクライテリアとなっております</t>
    </r>
    <r>
      <rPr>
        <sz val="11"/>
        <color theme="1"/>
        <rFont val="SimSun"/>
        <charset val="134"/>
      </rPr>
      <t>。</t>
    </r>
    <r>
      <rPr>
        <sz val="11"/>
        <color theme="1"/>
        <rFont val="MS Gothic"/>
        <charset val="134"/>
      </rPr>
      <t>ドロップするような</t>
    </r>
    <r>
      <rPr>
        <sz val="11"/>
        <color theme="1"/>
        <rFont val="SimSun"/>
        <charset val="134"/>
      </rPr>
      <t>回路</t>
    </r>
    <r>
      <rPr>
        <sz val="11"/>
        <color theme="1"/>
        <rFont val="MS Gothic"/>
        <charset val="134"/>
      </rPr>
      <t>にも</t>
    </r>
    <r>
      <rPr>
        <sz val="11"/>
        <color theme="1"/>
        <rFont val="SimSun"/>
        <charset val="134"/>
      </rPr>
      <t>見</t>
    </r>
    <r>
      <rPr>
        <sz val="11"/>
        <color theme="1"/>
        <rFont val="MS Gothic"/>
        <charset val="134"/>
      </rPr>
      <t>えないのですが</t>
    </r>
    <r>
      <rPr>
        <sz val="11"/>
        <color theme="1"/>
        <rFont val="SimSun"/>
        <charset val="134"/>
      </rPr>
      <t>、</t>
    </r>
    <r>
      <rPr>
        <sz val="11"/>
        <color theme="1"/>
        <rFont val="MS Gothic"/>
        <charset val="134"/>
      </rPr>
      <t>クライテリア</t>
    </r>
    <r>
      <rPr>
        <sz val="11"/>
        <color theme="1"/>
        <rFont val="SimSun"/>
        <charset val="134"/>
      </rPr>
      <t>上限</t>
    </r>
    <r>
      <rPr>
        <sz val="11"/>
        <color theme="1"/>
        <rFont val="MS Gothic"/>
        <charset val="134"/>
      </rPr>
      <t>が</t>
    </r>
    <r>
      <rPr>
        <sz val="11"/>
        <color theme="1"/>
        <rFont val="Meiryo UI"/>
        <charset val="134"/>
      </rPr>
      <t>4.97V</t>
    </r>
    <r>
      <rPr>
        <sz val="11"/>
        <color theme="1"/>
        <rFont val="MS Gothic"/>
        <charset val="134"/>
      </rPr>
      <t>は</t>
    </r>
    <r>
      <rPr>
        <sz val="11"/>
        <color theme="1"/>
        <rFont val="SimSun"/>
        <charset val="134"/>
      </rPr>
      <t>正</t>
    </r>
    <r>
      <rPr>
        <sz val="11"/>
        <color theme="1"/>
        <rFont val="MS Gothic"/>
        <charset val="134"/>
      </rPr>
      <t>しいでしょうか</t>
    </r>
    <r>
      <rPr>
        <sz val="11"/>
        <color theme="1"/>
        <rFont val="SimSun"/>
        <charset val="134"/>
      </rPr>
      <t>。</t>
    </r>
  </si>
  <si>
    <t>We have done a thorough analysis of the comments 
 AP63205Q can give a voltage up to 5V, and also, if we look into the schematic of only the voltage regulator circuit without load, but when for our circuit, the WCCA has taken all the related circuits and calculated that the voltage regulator will always function in the range of 4.920 to 4.970V.</t>
  </si>
  <si>
    <t>3.8.1
3.9.1</t>
  </si>
  <si>
    <r>
      <t>回路</t>
    </r>
    <r>
      <rPr>
        <sz val="11"/>
        <color theme="1"/>
        <rFont val="MS Gothic"/>
        <charset val="134"/>
      </rPr>
      <t>の</t>
    </r>
    <r>
      <rPr>
        <sz val="11"/>
        <color theme="1"/>
        <rFont val="SimSun"/>
        <charset val="134"/>
      </rPr>
      <t>名称</t>
    </r>
    <r>
      <rPr>
        <sz val="11"/>
        <color theme="1"/>
        <rFont val="MS Gothic"/>
        <charset val="134"/>
      </rPr>
      <t>ですので</t>
    </r>
    <r>
      <rPr>
        <sz val="11"/>
        <color theme="1"/>
        <rFont val="SimSun"/>
        <charset val="134"/>
      </rPr>
      <t>、</t>
    </r>
    <r>
      <rPr>
        <sz val="11"/>
        <color theme="1"/>
        <rFont val="Meiryo UI"/>
        <charset val="134"/>
      </rPr>
      <t>The 3.3V LDO regulator</t>
    </r>
    <r>
      <rPr>
        <sz val="11"/>
        <color theme="1"/>
        <rFont val="MS Gothic"/>
        <charset val="134"/>
      </rPr>
      <t>でよいと</t>
    </r>
    <r>
      <rPr>
        <sz val="11"/>
        <color theme="1"/>
        <rFont val="SimSun"/>
        <charset val="134"/>
      </rPr>
      <t>思</t>
    </r>
    <r>
      <rPr>
        <sz val="11"/>
        <color theme="1"/>
        <rFont val="MS Gothic"/>
        <charset val="134"/>
      </rPr>
      <t>います</t>
    </r>
    <r>
      <rPr>
        <sz val="11"/>
        <color theme="1"/>
        <rFont val="SimSun"/>
        <charset val="134"/>
      </rPr>
      <t>。</t>
    </r>
    <r>
      <rPr>
        <sz val="11"/>
        <color theme="1"/>
        <rFont val="Meiryo UI"/>
        <charset val="134"/>
      </rPr>
      <t xml:space="preserve">
</t>
    </r>
    <r>
      <rPr>
        <sz val="11"/>
        <color theme="1"/>
        <rFont val="MS Gothic"/>
        <charset val="134"/>
      </rPr>
      <t>ほかにも</t>
    </r>
    <r>
      <rPr>
        <sz val="11"/>
        <color theme="1"/>
        <rFont val="SimSun"/>
        <charset val="134"/>
      </rPr>
      <t>文中</t>
    </r>
    <r>
      <rPr>
        <sz val="11"/>
        <color theme="1"/>
        <rFont val="MS Gothic"/>
        <charset val="134"/>
      </rPr>
      <t>の</t>
    </r>
    <r>
      <rPr>
        <sz val="11"/>
        <color theme="1"/>
        <rFont val="SimSun"/>
        <charset val="134"/>
      </rPr>
      <t>回路名</t>
    </r>
    <r>
      <rPr>
        <sz val="11"/>
        <color theme="1"/>
        <rFont val="MS Gothic"/>
        <charset val="134"/>
      </rPr>
      <t>で</t>
    </r>
    <r>
      <rPr>
        <sz val="11"/>
        <color theme="1"/>
        <rFont val="SimSun"/>
        <charset val="134"/>
      </rPr>
      <t>少数点以下</t>
    </r>
    <r>
      <rPr>
        <sz val="11"/>
        <color theme="1"/>
        <rFont val="Meiryo UI"/>
        <charset val="134"/>
      </rPr>
      <t>3</t>
    </r>
    <r>
      <rPr>
        <sz val="11"/>
        <color theme="1"/>
        <rFont val="SimSun"/>
        <charset val="134"/>
      </rPr>
      <t>桁</t>
    </r>
    <r>
      <rPr>
        <sz val="11"/>
        <color theme="1"/>
        <rFont val="MS Gothic"/>
        <charset val="134"/>
      </rPr>
      <t>まで</t>
    </r>
    <r>
      <rPr>
        <sz val="11"/>
        <color theme="1"/>
        <rFont val="SimSun"/>
        <charset val="134"/>
      </rPr>
      <t>記載</t>
    </r>
    <r>
      <rPr>
        <sz val="11"/>
        <color theme="1"/>
        <rFont val="MS Gothic"/>
        <charset val="134"/>
      </rPr>
      <t>している</t>
    </r>
    <r>
      <rPr>
        <sz val="11"/>
        <color theme="1"/>
        <rFont val="SimSun"/>
        <charset val="134"/>
      </rPr>
      <t>箇所</t>
    </r>
    <r>
      <rPr>
        <sz val="11"/>
        <color theme="1"/>
        <rFont val="MS Gothic"/>
        <charset val="134"/>
      </rPr>
      <t>もありますので</t>
    </r>
    <r>
      <rPr>
        <sz val="11"/>
        <color theme="1"/>
        <rFont val="SimSun"/>
        <charset val="134"/>
      </rPr>
      <t>、文章中</t>
    </r>
    <r>
      <rPr>
        <sz val="11"/>
        <color theme="1"/>
        <rFont val="MS Gothic"/>
        <charset val="134"/>
      </rPr>
      <t>の</t>
    </r>
    <r>
      <rPr>
        <sz val="11"/>
        <color theme="1"/>
        <rFont val="SimSun"/>
        <charset val="134"/>
      </rPr>
      <t>小数点</t>
    </r>
    <r>
      <rPr>
        <sz val="11"/>
        <color theme="1"/>
        <rFont val="MS Gothic"/>
        <charset val="134"/>
      </rPr>
      <t>とデータとしての</t>
    </r>
    <r>
      <rPr>
        <sz val="11"/>
        <color theme="1"/>
        <rFont val="SimSun"/>
        <charset val="134"/>
      </rPr>
      <t>有効桁数</t>
    </r>
    <r>
      <rPr>
        <sz val="11"/>
        <color theme="1"/>
        <rFont val="MS Gothic"/>
        <charset val="134"/>
      </rPr>
      <t>は</t>
    </r>
    <r>
      <rPr>
        <sz val="11"/>
        <color theme="1"/>
        <rFont val="SimSun"/>
        <charset val="134"/>
      </rPr>
      <t>切</t>
    </r>
    <r>
      <rPr>
        <sz val="11"/>
        <color theme="1"/>
        <rFont val="MS Gothic"/>
        <charset val="134"/>
      </rPr>
      <t>り</t>
    </r>
    <r>
      <rPr>
        <sz val="11"/>
        <color theme="1"/>
        <rFont val="SimSun"/>
        <charset val="134"/>
      </rPr>
      <t>分</t>
    </r>
    <r>
      <rPr>
        <sz val="11"/>
        <color theme="1"/>
        <rFont val="MS Gothic"/>
        <charset val="134"/>
      </rPr>
      <t>けるべきかと</t>
    </r>
    <r>
      <rPr>
        <sz val="11"/>
        <color theme="1"/>
        <rFont val="SimSun"/>
        <charset val="134"/>
      </rPr>
      <t>思</t>
    </r>
    <r>
      <rPr>
        <sz val="11"/>
        <color theme="1"/>
        <rFont val="MS Gothic"/>
        <charset val="134"/>
      </rPr>
      <t>います</t>
    </r>
    <r>
      <rPr>
        <sz val="11"/>
        <color theme="1"/>
        <rFont val="SimSun"/>
        <charset val="134"/>
      </rPr>
      <t>。</t>
    </r>
  </si>
  <si>
    <t>We have updated the name of the component to 3.3V LDO regulator.</t>
  </si>
  <si>
    <t>Test name</t>
  </si>
  <si>
    <t>Pass criteria</t>
  </si>
  <si>
    <t>Actual</t>
  </si>
  <si>
    <t>Result</t>
  </si>
  <si>
    <t>GPIO – HIGH</t>
  </si>
  <si>
    <t xml:space="preserve">1) GPIO1 Voltage: 5V DC ±5%
2) LED status: ON </t>
  </si>
  <si>
    <t>1) 4.98 VDC
2) LED is ON</t>
  </si>
  <si>
    <t>Pass</t>
  </si>
  <si>
    <t>GPIO – LOW</t>
  </si>
  <si>
    <t>1) GPIO1 Voltage: 0V DC +5%
2) LED status: OFF</t>
  </si>
  <si>
    <t>1) 0 VDC
2) LED is OFF</t>
  </si>
  <si>
    <t>PWM1 output</t>
  </si>
  <si>
    <t>PWM waveform with:
1) Frequency: 200 kHz (±1%)
2) Duty Cycle: 50% (±1%)
3) Deadband: 1uS (±1uS)
4) High voltage: 3.3 VDC (±5%)
5) Low voltage: 0 VDC (+5%)</t>
  </si>
  <si>
    <t>PWM waveform with:
1) Frequency: 201 kHz
2) Duty Cycle: 49.98% 
3) Deadband: 1uS 
4) High voltage: 3.27 VDC 
5) Low voltage: 0 VDC</t>
  </si>
  <si>
    <t>ADC1 CH1 reading</t>
  </si>
  <si>
    <t>1) For 3.3VDC test signal: 4095 -0.001%
2) For 1.65 VDC test signal: 2047 ±0.001%
3) For 0 VDC test signal: 0 +0.001%</t>
  </si>
  <si>
    <t>1) For 3.3VDC test signal: 4093
2) For 1.65 VDC test signal: 2045
3) For 0 VDC test signal: 1</t>
  </si>
  <si>
    <t>Original</t>
  </si>
  <si>
    <t>Konno_check</t>
  </si>
  <si>
    <t>Input current (A)</t>
  </si>
  <si>
    <t>Expected output</t>
  </si>
  <si>
    <t>Measured</t>
  </si>
  <si>
    <t>Measured HVDC Current Sensor Value(V)</t>
  </si>
  <si>
    <t>Judgement</t>
  </si>
  <si>
    <t>difference</t>
  </si>
  <si>
    <t>criteria</t>
  </si>
  <si>
    <t>DCDC Primary  Current Sensor Value(V)</t>
  </si>
  <si>
    <t>–3 A</t>
  </si>
  <si>
    <t>2.2 V ± 0.05 V</t>
  </si>
  <si>
    <t>2.22 V</t>
  </si>
  <si>
    <t>2.16 V</t>
  </si>
  <si>
    <t>PASS</t>
  </si>
  <si>
    <t>–2 A</t>
  </si>
  <si>
    <t>2.3 V ± 0.05 V</t>
  </si>
  <si>
    <t>2.31 V</t>
  </si>
  <si>
    <t>2.27 V</t>
  </si>
  <si>
    <t>–1 A</t>
  </si>
  <si>
    <t>2.4 V ± 0.05 V</t>
  </si>
  <si>
    <t>2.40 V</t>
  </si>
  <si>
    <t>2.35 V</t>
  </si>
  <si>
    <t>0A</t>
  </si>
  <si>
    <t>2.5 V ± 0.05 V</t>
  </si>
  <si>
    <t>2.50 V</t>
  </si>
  <si>
    <t>2.45 V</t>
  </si>
  <si>
    <t>+1 A</t>
  </si>
  <si>
    <t>2.6 V ± 0.05 V</t>
  </si>
  <si>
    <t>2.61 V</t>
  </si>
  <si>
    <t>2.54 V</t>
  </si>
  <si>
    <t>FAIL</t>
  </si>
  <si>
    <t>+2 A</t>
  </si>
  <si>
    <t>2.7 V ± 0.05 V</t>
  </si>
  <si>
    <t>2.71 V</t>
  </si>
  <si>
    <t>2.65 V</t>
  </si>
  <si>
    <t>+3 A</t>
  </si>
  <si>
    <t>2.8 V ± 0.05 V</t>
  </si>
  <si>
    <t>2.80 V</t>
  </si>
  <si>
    <t>2.75 V</t>
  </si>
  <si>
    <t>PASS?</t>
  </si>
  <si>
    <t>Chapter No</t>
  </si>
  <si>
    <t>TableNo</t>
  </si>
  <si>
    <t>rounded</t>
  </si>
  <si>
    <t>2.1.1</t>
  </si>
  <si>
    <t>2桁、0桁</t>
  </si>
  <si>
    <t>Mismatch</t>
  </si>
  <si>
    <t>2.1.4</t>
  </si>
  <si>
    <t>0桁</t>
  </si>
  <si>
    <t>3.1.1 Table19</t>
  </si>
  <si>
    <t>Applied</t>
  </si>
  <si>
    <t>HVDC Current Sensor Value(V)</t>
  </si>
  <si>
    <t>current(A)</t>
  </si>
  <si>
    <t>–3.00</t>
  </si>
  <si>
    <t>2.200 V ± 0.200 V</t>
  </si>
  <si>
    <t>2.200 V ± 0.0184V</t>
  </si>
  <si>
    <t>–2.00</t>
  </si>
  <si>
    <t>2.300 V ± 0.200 V</t>
  </si>
  <si>
    <t>2.300 V ± 0.0184V</t>
  </si>
  <si>
    <t>–1.00</t>
  </si>
  <si>
    <t>2.400 V ± 0.200 V</t>
  </si>
  <si>
    <t>2.400 V ± 0.0184V</t>
  </si>
  <si>
    <t>2.500 V ± 0.200 V</t>
  </si>
  <si>
    <t>2.500 V ± 0.0184V</t>
  </si>
  <si>
    <t>2.600 V ± 0.200 V</t>
  </si>
  <si>
    <t>2.700 V ± 0.200 V</t>
  </si>
  <si>
    <t>2.700 V ± 0.0184V</t>
  </si>
  <si>
    <t>2.800 V ± 0.200 V</t>
  </si>
  <si>
    <t>2.800 V ± 0.0184V</t>
  </si>
  <si>
    <t>Verification Results</t>
  </si>
  <si>
    <t>basis</t>
  </si>
  <si>
    <t>range</t>
  </si>
  <si>
    <t>MIN</t>
  </si>
  <si>
    <t>MAX</t>
  </si>
  <si>
    <r>
      <rPr>
        <sz val="11"/>
        <color theme="1"/>
        <rFont val="Calibri"/>
        <charset val="134"/>
      </rPr>
      <t>2.200 V ±</t>
    </r>
    <r>
      <rPr>
        <sz val="11"/>
        <color theme="1"/>
        <rFont val="Meiryo UI"/>
        <charset val="128"/>
      </rPr>
      <t>　</t>
    </r>
    <r>
      <rPr>
        <sz val="11"/>
        <color theme="1"/>
        <rFont val="Calibri"/>
        <charset val="134"/>
      </rPr>
      <t>0.040V</t>
    </r>
  </si>
  <si>
    <r>
      <rPr>
        <sz val="11"/>
        <color theme="1"/>
        <rFont val="Calibri"/>
        <charset val="134"/>
      </rPr>
      <t>2.300 V ±</t>
    </r>
    <r>
      <rPr>
        <sz val="11"/>
        <color theme="1"/>
        <rFont val="Meiryo UI"/>
        <charset val="128"/>
      </rPr>
      <t>　</t>
    </r>
    <r>
      <rPr>
        <sz val="11"/>
        <color theme="1"/>
        <rFont val="Calibri"/>
        <charset val="134"/>
      </rPr>
      <t>0.042V</t>
    </r>
  </si>
  <si>
    <r>
      <rPr>
        <sz val="11"/>
        <color theme="1"/>
        <rFont val="Calibri"/>
        <charset val="134"/>
      </rPr>
      <t>2.400 V ±</t>
    </r>
    <r>
      <rPr>
        <sz val="11"/>
        <color theme="1"/>
        <rFont val="Meiryo UI"/>
        <charset val="128"/>
      </rPr>
      <t>　</t>
    </r>
    <r>
      <rPr>
        <sz val="11"/>
        <color theme="1"/>
        <rFont val="Calibri"/>
        <charset val="134"/>
      </rPr>
      <t>0.044V</t>
    </r>
  </si>
  <si>
    <r>
      <rPr>
        <sz val="11"/>
        <color theme="1"/>
        <rFont val="Calibri"/>
        <charset val="134"/>
      </rPr>
      <t>2.500 V ±</t>
    </r>
    <r>
      <rPr>
        <sz val="11"/>
        <color theme="1"/>
        <rFont val="Meiryo UI"/>
        <charset val="128"/>
      </rPr>
      <t>　</t>
    </r>
    <r>
      <rPr>
        <sz val="11"/>
        <color theme="1"/>
        <rFont val="Calibri"/>
        <charset val="134"/>
      </rPr>
      <t>0.046V</t>
    </r>
  </si>
  <si>
    <r>
      <rPr>
        <sz val="11"/>
        <color theme="1"/>
        <rFont val="Calibri"/>
        <charset val="134"/>
      </rPr>
      <t>2.600 V ±</t>
    </r>
    <r>
      <rPr>
        <sz val="11"/>
        <color theme="1"/>
        <rFont val="Meiryo UI"/>
        <charset val="128"/>
      </rPr>
      <t>　</t>
    </r>
    <r>
      <rPr>
        <sz val="11"/>
        <color theme="1"/>
        <rFont val="Calibri"/>
        <charset val="134"/>
      </rPr>
      <t>0.048V</t>
    </r>
  </si>
  <si>
    <r>
      <rPr>
        <sz val="11"/>
        <color theme="1"/>
        <rFont val="Calibri"/>
        <charset val="134"/>
      </rPr>
      <t>2.700 V ±</t>
    </r>
    <r>
      <rPr>
        <sz val="11"/>
        <color theme="1"/>
        <rFont val="Meiryo UI"/>
        <charset val="128"/>
      </rPr>
      <t>　</t>
    </r>
    <r>
      <rPr>
        <sz val="11"/>
        <color theme="1"/>
        <rFont val="Calibri"/>
        <charset val="134"/>
      </rPr>
      <t>0.050V</t>
    </r>
  </si>
  <si>
    <r>
      <rPr>
        <sz val="11"/>
        <color theme="1"/>
        <rFont val="Calibri"/>
        <charset val="134"/>
      </rPr>
      <t>2.800 V ±</t>
    </r>
    <r>
      <rPr>
        <sz val="11"/>
        <color theme="1"/>
        <rFont val="Meiryo UI"/>
        <charset val="128"/>
      </rPr>
      <t>　</t>
    </r>
    <r>
      <rPr>
        <sz val="11"/>
        <color theme="1"/>
        <rFont val="Calibri"/>
        <charset val="134"/>
      </rPr>
      <t>0.052V</t>
    </r>
  </si>
  <si>
    <t>Pass Criteria</t>
  </si>
  <si>
    <t>Measured DCDC Primary  Current Sensor Value(V)</t>
  </si>
  <si>
    <t>–3.00 A</t>
  </si>
  <si>
    <t xml:space="preserve">2.200 V </t>
  </si>
  <si>
    <t>2.160 V to 2.240 V</t>
  </si>
  <si>
    <t>2.227 V</t>
  </si>
  <si>
    <t>2.164 V</t>
  </si>
  <si>
    <t>–2.00 A</t>
  </si>
  <si>
    <t xml:space="preserve">2.300 V </t>
  </si>
  <si>
    <t>2.258 V to 2.342 V</t>
  </si>
  <si>
    <t>2.317 V</t>
  </si>
  <si>
    <t>2.270 V</t>
  </si>
  <si>
    <t>–1.00 A</t>
  </si>
  <si>
    <t xml:space="preserve">2.400 V </t>
  </si>
  <si>
    <t>2.356 V to 2.444 V</t>
  </si>
  <si>
    <t>2.408 V</t>
  </si>
  <si>
    <t>2.359 V</t>
  </si>
  <si>
    <t xml:space="preserve">2.500 V </t>
  </si>
  <si>
    <t>2.454 V to 2.546 V</t>
  </si>
  <si>
    <t>2.503 V</t>
  </si>
  <si>
    <t>2.462 V</t>
  </si>
  <si>
    <t>+1.00 A</t>
  </si>
  <si>
    <t xml:space="preserve">2.600 V </t>
  </si>
  <si>
    <t>2.552 V to 2.648 V</t>
  </si>
  <si>
    <t>2.612 V</t>
  </si>
  <si>
    <t>2.553 V</t>
  </si>
  <si>
    <t>+2.00 A</t>
  </si>
  <si>
    <t xml:space="preserve">2.700 V </t>
  </si>
  <si>
    <t>2.650 V to 2.750 V</t>
  </si>
  <si>
    <t>2.715 V</t>
  </si>
  <si>
    <t>2.659 V</t>
  </si>
  <si>
    <t>+3.00 A</t>
  </si>
  <si>
    <t xml:space="preserve">2.800 V </t>
  </si>
  <si>
    <t>2.748 V to 2.852 V</t>
  </si>
  <si>
    <t>2.806 V</t>
  </si>
  <si>
    <t>2.760 V</t>
  </si>
  <si>
    <t>ROUND</t>
  </si>
  <si>
    <t>Expected
output</t>
  </si>
  <si>
    <t>TechM
ROUND</t>
  </si>
  <si>
    <t>ROUNDUP</t>
  </si>
  <si>
    <t>ROUND
DOWN</t>
  </si>
  <si>
    <t>0.00A</t>
  </si>
  <si>
    <t>Expected VOUT (V)
2.150 V ±0.087 V
2.330 V ±0.087 V
2.500 V ±0.087 V
2.690 V ±0.087 V
2.860 V ±0.087 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</si>
</sst>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0"/>
    <numFmt numFmtId="181" formatCode="0.0000_ "/>
    <numFmt numFmtId="182" formatCode="0.00_ "/>
    <numFmt numFmtId="183" formatCode="0.000_ "/>
    <numFmt numFmtId="184" formatCode="h:mm\ AM/PM"/>
    <numFmt numFmtId="185" formatCode="[$-409]d/mmm;@"/>
  </numFmts>
  <fonts count="51">
    <font>
      <sz val="11"/>
      <color theme="1"/>
      <name val="Meiryo UI"/>
      <charset val="128"/>
    </font>
    <font>
      <b/>
      <sz val="11"/>
      <color rgb="FF000000"/>
      <name val="Calibri"/>
      <charset val="134"/>
    </font>
    <font>
      <sz val="11"/>
      <color rgb="FF000000"/>
      <name val="Calibri"/>
      <charset val="134"/>
    </font>
    <font>
      <sz val="11"/>
      <color theme="1"/>
      <name val="Calibri"/>
      <charset val="134"/>
    </font>
    <font>
      <sz val="11"/>
      <color rgb="FF000000"/>
      <name val="Calibri"/>
      <charset val="128"/>
    </font>
    <font>
      <b/>
      <sz val="11"/>
      <color theme="1"/>
      <name val="Meiryo UI"/>
      <charset val="128"/>
    </font>
    <font>
      <b/>
      <sz val="11"/>
      <color theme="1"/>
      <name val="Calibri"/>
      <charset val="134"/>
    </font>
    <font>
      <sz val="11"/>
      <color theme="1"/>
      <name val="Meiryo UI"/>
      <charset val="128"/>
    </font>
    <font>
      <b/>
      <sz val="10"/>
      <color theme="1"/>
      <name val="Aptos Narrow"/>
      <charset val="134"/>
      <scheme val="minor"/>
    </font>
    <font>
      <sz val="10"/>
      <color theme="1"/>
      <name val="Aptos Narrow"/>
      <charset val="134"/>
      <scheme val="minor"/>
    </font>
    <font>
      <i/>
      <sz val="11"/>
      <color theme="1"/>
      <name val="Meiryo UI"/>
      <charset val="134"/>
    </font>
    <font>
      <sz val="11"/>
      <color theme="1"/>
      <name val="MS Gothic"/>
      <charset val="134"/>
    </font>
    <font>
      <sz val="11"/>
      <color rgb="FF0070C0"/>
      <name val="Meiryo UI"/>
      <charset val="134"/>
    </font>
    <font>
      <sz val="11"/>
      <color theme="1"/>
      <name val="Meiryo UI"/>
      <charset val="134"/>
    </font>
    <font>
      <sz val="11"/>
      <name val="Meiryo UI"/>
      <charset val="134"/>
    </font>
    <font>
      <sz val="11"/>
      <name val="Meiryo UI"/>
      <charset val="128"/>
    </font>
    <font>
      <sz val="11"/>
      <color theme="1"/>
      <name val="Meiryo UI"/>
      <charset val="128"/>
    </font>
    <font>
      <sz val="11"/>
      <color rgb="FFFF0000"/>
      <name val="Meiryo UI"/>
      <charset val="128"/>
    </font>
    <font>
      <b/>
      <sz val="11"/>
      <color rgb="FFFF0000"/>
      <name val="Meiryo UI"/>
      <charset val="128"/>
    </font>
    <font>
      <sz val="11"/>
      <color theme="1"/>
      <name val="SimSun"/>
      <charset val="134"/>
    </font>
    <font>
      <sz val="11"/>
      <color theme="1"/>
      <name val="MS Gothic"/>
      <charset val="128"/>
    </font>
    <font>
      <sz val="11"/>
      <color theme="1"/>
      <name val="SimSun"/>
      <charset val="128"/>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theme="1"/>
      <name val="MS Gothic"/>
      <charset val="128"/>
    </font>
    <font>
      <sz val="11"/>
      <color rgb="FF0070C0"/>
      <name val="Meiryo UI"/>
      <charset val="128"/>
    </font>
    <font>
      <sz val="11"/>
      <color theme="1"/>
      <name val="SimSun"/>
      <charset val="128"/>
    </font>
    <font>
      <sz val="11"/>
      <color rgb="FF0070C0"/>
      <name val="SimSun"/>
      <charset val="134"/>
    </font>
    <font>
      <sz val="11"/>
      <color theme="1"/>
      <name val="MS Gothic"/>
      <charset val="134"/>
    </font>
    <font>
      <b/>
      <sz val="11"/>
      <color theme="1"/>
      <name val="SimSun"/>
      <charset val="128"/>
    </font>
    <font>
      <b/>
      <sz val="11"/>
      <color theme="1"/>
      <name val="MS Gothic"/>
      <charset val="128"/>
    </font>
    <font>
      <b/>
      <sz val="11"/>
      <color rgb="FF0070C0"/>
      <name val="Meiryo UI"/>
      <charset val="128"/>
    </font>
    <font>
      <sz val="11"/>
      <color rgb="FF0070C0"/>
      <name val="Meiryo UI"/>
      <charset val="128"/>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3" borderId="1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5" applyNumberFormat="0" applyFill="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0" fillId="0" borderId="0" applyNumberFormat="0" applyFill="0" applyBorder="0" applyAlignment="0" applyProtection="0">
      <alignment vertical="center"/>
    </xf>
    <xf numFmtId="0" fontId="31" fillId="4" borderId="17" applyNumberFormat="0" applyAlignment="0" applyProtection="0">
      <alignment vertical="center"/>
    </xf>
    <xf numFmtId="0" fontId="32" fillId="5" borderId="18" applyNumberFormat="0" applyAlignment="0" applyProtection="0">
      <alignment vertical="center"/>
    </xf>
    <xf numFmtId="0" fontId="33" fillId="5" borderId="17" applyNumberFormat="0" applyAlignment="0" applyProtection="0">
      <alignment vertical="center"/>
    </xf>
    <xf numFmtId="0" fontId="34" fillId="6" borderId="19" applyNumberFormat="0" applyAlignment="0" applyProtection="0">
      <alignment vertical="center"/>
    </xf>
    <xf numFmtId="0" fontId="35" fillId="0" borderId="20" applyNumberFormat="0" applyFill="0" applyAlignment="0" applyProtection="0">
      <alignment vertical="center"/>
    </xf>
    <xf numFmtId="0" fontId="36" fillId="0" borderId="21" applyNumberFormat="0" applyFill="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cellStyleXfs>
  <cellXfs count="104">
    <xf numFmtId="0" fontId="0" fillId="0" borderId="0" xfId="0">
      <alignment vertical="center"/>
    </xf>
    <xf numFmtId="180" fontId="0" fillId="0" borderId="0" xfId="0" applyNumberFormat="1">
      <alignment vertical="center"/>
    </xf>
    <xf numFmtId="180" fontId="1"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180" fontId="2" fillId="0" borderId="3" xfId="0" applyNumberFormat="1" applyFont="1" applyBorder="1" applyAlignment="1">
      <alignment horizontal="center" vertical="center" wrapText="1"/>
    </xf>
    <xf numFmtId="0" fontId="2" fillId="0" borderId="4" xfId="0" applyFont="1" applyBorder="1" applyAlignment="1">
      <alignment horizontal="center" vertical="center" wrapText="1"/>
    </xf>
    <xf numFmtId="181" fontId="2" fillId="0" borderId="4" xfId="0" applyNumberFormat="1" applyFont="1" applyBorder="1" applyAlignment="1">
      <alignment horizontal="center" vertical="center" wrapText="1"/>
    </xf>
    <xf numFmtId="180" fontId="0" fillId="0" borderId="0" xfId="0" applyNumberFormat="1" applyAlignment="1">
      <alignment vertical="center" wrapText="1"/>
    </xf>
    <xf numFmtId="0" fontId="3" fillId="0" borderId="4" xfId="0" applyFont="1" applyBorder="1" applyAlignment="1">
      <alignment horizontal="center" vertical="center" wrapText="1"/>
    </xf>
    <xf numFmtId="180" fontId="4" fillId="0" borderId="1" xfId="0" applyNumberFormat="1" applyFont="1" applyBorder="1" applyAlignment="1">
      <alignment horizontal="center" vertical="center" wrapText="1"/>
    </xf>
    <xf numFmtId="180" fontId="4" fillId="0" borderId="3"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alignment vertical="center"/>
    </xf>
    <xf numFmtId="0" fontId="6" fillId="0" borderId="5"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6" fillId="0" borderId="7" xfId="0" applyFont="1" applyBorder="1" applyAlignment="1">
      <alignment vertical="center" wrapText="1"/>
    </xf>
    <xf numFmtId="0" fontId="1" fillId="0" borderId="7" xfId="0" applyFont="1" applyBorder="1" applyAlignment="1">
      <alignment vertical="center" wrapText="1"/>
    </xf>
    <xf numFmtId="0" fontId="3" fillId="0" borderId="7" xfId="0" applyFont="1" applyBorder="1">
      <alignment vertical="center"/>
    </xf>
    <xf numFmtId="0" fontId="1" fillId="0" borderId="8" xfId="0" applyFont="1" applyBorder="1" applyAlignment="1">
      <alignment vertical="center" wrapText="1"/>
    </xf>
    <xf numFmtId="0" fontId="3" fillId="0" borderId="8" xfId="0" applyFont="1" applyBorder="1">
      <alignment vertical="center"/>
    </xf>
    <xf numFmtId="182" fontId="2" fillId="0" borderId="9" xfId="0" applyNumberFormat="1" applyFont="1" applyBorder="1" applyAlignment="1">
      <alignment horizontal="center" vertical="center" wrapText="1"/>
    </xf>
    <xf numFmtId="183" fontId="3" fillId="0" borderId="9" xfId="0" applyNumberFormat="1" applyFont="1" applyBorder="1">
      <alignment vertical="center"/>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183" fontId="2" fillId="0" borderId="3" xfId="0" applyNumberFormat="1" applyFont="1" applyBorder="1" applyAlignment="1">
      <alignment horizontal="center" vertical="center" wrapText="1"/>
    </xf>
    <xf numFmtId="0" fontId="7" fillId="0" borderId="0" xfId="0" applyFont="1">
      <alignment vertical="center"/>
    </xf>
    <xf numFmtId="183" fontId="0" fillId="0" borderId="0" xfId="0" applyNumberFormat="1">
      <alignment vertical="center"/>
    </xf>
    <xf numFmtId="181" fontId="2" fillId="2" borderId="4" xfId="0" applyNumberFormat="1" applyFont="1" applyFill="1" applyBorder="1" applyAlignment="1">
      <alignment horizontal="center" vertical="center" wrapText="1"/>
    </xf>
    <xf numFmtId="0" fontId="0" fillId="0" borderId="7" xfId="0" applyBorder="1">
      <alignment vertical="center"/>
    </xf>
    <xf numFmtId="0" fontId="7" fillId="0" borderId="9" xfId="0" applyFont="1" applyBorder="1">
      <alignment vertical="center"/>
    </xf>
    <xf numFmtId="0" fontId="0" fillId="0" borderId="9" xfId="0" applyBorder="1">
      <alignment vertical="center"/>
    </xf>
    <xf numFmtId="0" fontId="0" fillId="0" borderId="8" xfId="0" applyBorder="1">
      <alignment vertical="center"/>
    </xf>
    <xf numFmtId="0" fontId="7" fillId="0" borderId="1" xfId="0" applyFont="1" applyBorder="1">
      <alignment vertical="center"/>
    </xf>
    <xf numFmtId="0" fontId="0" fillId="0" borderId="1" xfId="0" applyBorder="1">
      <alignment vertical="center"/>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184" fontId="2" fillId="0" borderId="3" xfId="0" applyNumberFormat="1" applyFont="1" applyBorder="1" applyAlignment="1">
      <alignment horizontal="center" vertical="center" wrapText="1"/>
    </xf>
    <xf numFmtId="0" fontId="2" fillId="2" borderId="4" xfId="0" applyFont="1" applyFill="1" applyBorder="1" applyAlignment="1">
      <alignment horizontal="center" vertical="center" wrapText="1"/>
    </xf>
    <xf numFmtId="0" fontId="1" fillId="0" borderId="11" xfId="0" applyFont="1" applyBorder="1" applyAlignment="1">
      <alignment horizontal="center" vertical="center" wrapText="1"/>
    </xf>
    <xf numFmtId="0" fontId="6" fillId="0" borderId="5" xfId="0" applyFont="1" applyBorder="1">
      <alignment vertical="center"/>
    </xf>
    <xf numFmtId="0" fontId="1" fillId="0" borderId="12" xfId="0" applyFont="1" applyBorder="1" applyAlignment="1">
      <alignment horizontal="center" vertical="center" wrapText="1"/>
    </xf>
    <xf numFmtId="0" fontId="6" fillId="0" borderId="3" xfId="0" applyFont="1" applyBorder="1">
      <alignment vertical="center"/>
    </xf>
    <xf numFmtId="181" fontId="2" fillId="0" borderId="13" xfId="0" applyNumberFormat="1"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181" fontId="2" fillId="2" borderId="13" xfId="0" applyNumberFormat="1" applyFont="1" applyFill="1" applyBorder="1" applyAlignment="1">
      <alignment horizontal="center" vertical="center" wrapText="1"/>
    </xf>
    <xf numFmtId="0" fontId="8" fillId="0" borderId="9" xfId="0" applyFont="1" applyBorder="1" applyAlignment="1">
      <alignment horizontal="center" vertical="center" wrapText="1"/>
    </xf>
    <xf numFmtId="0" fontId="9" fillId="0" borderId="9" xfId="0" applyFont="1" applyBorder="1" applyAlignment="1">
      <alignment vertical="center" wrapText="1"/>
    </xf>
    <xf numFmtId="0" fontId="9" fillId="0" borderId="9" xfId="0" applyFont="1" applyBorder="1" applyAlignment="1">
      <alignment horizontal="left" vertical="center" wrapText="1"/>
    </xf>
    <xf numFmtId="0" fontId="9" fillId="0" borderId="9" xfId="0" applyFont="1" applyBorder="1">
      <alignment vertical="center"/>
    </xf>
    <xf numFmtId="0" fontId="0" fillId="0" borderId="0" xfId="0" applyAlignment="1">
      <alignment vertical="center" wrapText="1"/>
    </xf>
    <xf numFmtId="0" fontId="0" fillId="0" borderId="0" xfId="0"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vertical="center" wrapText="1"/>
    </xf>
    <xf numFmtId="0" fontId="0" fillId="0" borderId="9" xfId="0" applyBorder="1" applyAlignment="1">
      <alignment vertical="center" wrapText="1"/>
    </xf>
    <xf numFmtId="0" fontId="0" fillId="0" borderId="9" xfId="0" applyBorder="1" applyAlignment="1">
      <alignment horizontal="center" vertical="center" wrapText="1"/>
    </xf>
    <xf numFmtId="0" fontId="11" fillId="0" borderId="9" xfId="0" applyFont="1" applyBorder="1" applyAlignment="1">
      <alignment vertical="center" wrapText="1"/>
    </xf>
    <xf numFmtId="0" fontId="7" fillId="0" borderId="9" xfId="0" applyFont="1" applyBorder="1" applyAlignment="1">
      <alignment vertical="center" wrapText="1"/>
    </xf>
    <xf numFmtId="0" fontId="12" fillId="0" borderId="9" xfId="0" applyFont="1" applyBorder="1" applyAlignment="1">
      <alignment vertical="center" wrapText="1"/>
    </xf>
    <xf numFmtId="185" fontId="0" fillId="0" borderId="9" xfId="0" applyNumberFormat="1" applyBorder="1" applyAlignment="1">
      <alignment horizontal="center" vertical="center" wrapText="1"/>
    </xf>
    <xf numFmtId="0" fontId="0" fillId="0" borderId="9" xfId="0" applyBorder="1" applyAlignment="1">
      <alignment vertical="top" wrapText="1"/>
    </xf>
    <xf numFmtId="0" fontId="13" fillId="0" borderId="9" xfId="0" applyFont="1" applyBorder="1" applyAlignment="1">
      <alignment vertical="center" wrapText="1"/>
    </xf>
    <xf numFmtId="0" fontId="14" fillId="0" borderId="9" xfId="0" applyFont="1" applyBorder="1" applyAlignment="1">
      <alignment vertical="center" wrapText="1"/>
    </xf>
    <xf numFmtId="0" fontId="14" fillId="0" borderId="9" xfId="0" applyFont="1" applyBorder="1" applyAlignment="1">
      <alignment horizontal="center" vertical="center" wrapText="1"/>
    </xf>
    <xf numFmtId="185" fontId="14" fillId="0" borderId="9" xfId="0" applyNumberFormat="1" applyFont="1" applyBorder="1" applyAlignment="1">
      <alignment horizontal="center" vertical="center" wrapText="1"/>
    </xf>
    <xf numFmtId="0" fontId="15" fillId="0" borderId="9" xfId="0" applyFont="1" applyBorder="1" applyAlignment="1">
      <alignment vertical="center" wrapText="1"/>
    </xf>
    <xf numFmtId="0" fontId="15" fillId="0" borderId="9" xfId="0" applyFont="1" applyBorder="1" applyAlignment="1">
      <alignment horizontal="center" vertical="center" wrapText="1"/>
    </xf>
    <xf numFmtId="185" fontId="15" fillId="0" borderId="9" xfId="0" applyNumberFormat="1" applyFont="1" applyBorder="1" applyAlignment="1">
      <alignment horizontal="center" vertical="center" wrapText="1"/>
    </xf>
    <xf numFmtId="0" fontId="15" fillId="2" borderId="9" xfId="0" applyFont="1" applyFill="1" applyBorder="1" applyAlignment="1">
      <alignment vertical="center" wrapText="1"/>
    </xf>
    <xf numFmtId="0" fontId="15" fillId="2" borderId="9" xfId="0" applyFont="1" applyFill="1" applyBorder="1" applyAlignment="1">
      <alignment horizontal="center" vertical="center" wrapText="1"/>
    </xf>
    <xf numFmtId="0" fontId="16" fillId="2" borderId="9" xfId="0" applyFont="1" applyFill="1" applyBorder="1" applyAlignment="1">
      <alignment vertical="center" wrapText="1"/>
    </xf>
    <xf numFmtId="0" fontId="13" fillId="2" borderId="9" xfId="0" applyFont="1" applyFill="1" applyBorder="1" applyAlignment="1">
      <alignment vertical="center" wrapText="1"/>
    </xf>
    <xf numFmtId="0" fontId="17" fillId="0" borderId="9" xfId="0" applyFont="1" applyBorder="1" applyAlignment="1">
      <alignment vertical="center" wrapText="1"/>
    </xf>
    <xf numFmtId="0" fontId="15" fillId="2" borderId="9" xfId="0" applyFont="1" applyFill="1" applyBorder="1" applyAlignment="1">
      <alignment vertical="top" wrapText="1"/>
    </xf>
    <xf numFmtId="0" fontId="18" fillId="2" borderId="9" xfId="0" applyFont="1" applyFill="1" applyBorder="1" applyAlignment="1">
      <alignment vertical="center" wrapText="1"/>
    </xf>
    <xf numFmtId="0" fontId="15" fillId="0" borderId="7" xfId="0" applyFont="1" applyBorder="1" applyAlignment="1">
      <alignment vertical="center" wrapText="1"/>
    </xf>
    <xf numFmtId="0" fontId="15" fillId="0" borderId="7" xfId="0" applyFont="1" applyBorder="1" applyAlignment="1">
      <alignment horizontal="center" vertical="center" wrapText="1"/>
    </xf>
    <xf numFmtId="185" fontId="15" fillId="0" borderId="7" xfId="0" applyNumberFormat="1" applyFont="1" applyBorder="1" applyAlignment="1">
      <alignment horizontal="center" vertical="center" wrapText="1"/>
    </xf>
    <xf numFmtId="0" fontId="13" fillId="0" borderId="7" xfId="0" applyFont="1" applyBorder="1" applyAlignment="1">
      <alignment vertical="center" wrapText="1"/>
    </xf>
    <xf numFmtId="0" fontId="15" fillId="0" borderId="8" xfId="0" applyFont="1" applyBorder="1" applyAlignment="1">
      <alignment vertical="center" wrapText="1"/>
    </xf>
    <xf numFmtId="0" fontId="15" fillId="0" borderId="8" xfId="0" applyFont="1" applyBorder="1" applyAlignment="1">
      <alignment horizontal="center" vertical="center" wrapText="1"/>
    </xf>
    <xf numFmtId="185" fontId="15" fillId="0" borderId="8" xfId="0" applyNumberFormat="1" applyFont="1" applyBorder="1" applyAlignment="1">
      <alignment horizontal="center" vertical="center" wrapText="1"/>
    </xf>
    <xf numFmtId="0" fontId="13" fillId="0" borderId="8" xfId="0" applyFont="1" applyBorder="1" applyAlignment="1">
      <alignment vertical="center" wrapText="1"/>
    </xf>
    <xf numFmtId="0" fontId="15" fillId="0" borderId="0" xfId="0" applyFont="1" applyAlignment="1">
      <alignment vertical="center" wrapText="1"/>
    </xf>
    <xf numFmtId="0" fontId="13" fillId="0" borderId="9" xfId="0" applyFont="1" applyBorder="1" applyAlignment="1">
      <alignment horizontal="center" vertical="center" wrapText="1"/>
    </xf>
    <xf numFmtId="0" fontId="7" fillId="0" borderId="9" xfId="0" applyFont="1" applyFill="1" applyBorder="1" applyAlignment="1">
      <alignment vertical="top" wrapText="1"/>
    </xf>
    <xf numFmtId="0" fontId="12" fillId="0" borderId="9" xfId="0" applyFont="1" applyBorder="1" applyAlignment="1">
      <alignment horizontal="center" vertical="center" wrapText="1"/>
    </xf>
    <xf numFmtId="185" fontId="13" fillId="0" borderId="9" xfId="0" applyNumberFormat="1" applyFont="1" applyBorder="1" applyAlignment="1">
      <alignment horizontal="center" vertical="center" wrapText="1"/>
    </xf>
    <xf numFmtId="0" fontId="7" fillId="0" borderId="9" xfId="0" applyFont="1" applyBorder="1" applyAlignment="1">
      <alignment horizontal="center" vertical="center" wrapText="1"/>
    </xf>
    <xf numFmtId="0" fontId="13" fillId="0" borderId="9" xfId="0" applyFont="1" applyFill="1" applyBorder="1" applyAlignment="1">
      <alignment vertical="top" wrapText="1"/>
    </xf>
    <xf numFmtId="0" fontId="7" fillId="0" borderId="9" xfId="0" applyFont="1" applyFill="1" applyBorder="1" applyAlignment="1">
      <alignment vertical="center" wrapText="1"/>
    </xf>
    <xf numFmtId="0" fontId="13" fillId="0" borderId="9" xfId="0" applyFont="1" applyFill="1" applyBorder="1" applyAlignment="1">
      <alignment vertical="top" wrapText="1"/>
    </xf>
    <xf numFmtId="0" fontId="19" fillId="0" borderId="9" xfId="0" applyFont="1" applyBorder="1" applyAlignment="1">
      <alignment vertical="top" wrapText="1"/>
    </xf>
    <xf numFmtId="185" fontId="12" fillId="0" borderId="9" xfId="0" applyNumberFormat="1" applyFont="1" applyBorder="1" applyAlignment="1">
      <alignment horizontal="center" vertical="center" wrapText="1"/>
    </xf>
    <xf numFmtId="0" fontId="7" fillId="0" borderId="9" xfId="0" applyFont="1" applyBorder="1" applyAlignment="1">
      <alignment wrapText="1"/>
    </xf>
    <xf numFmtId="0" fontId="20" fillId="2" borderId="9" xfId="0" applyFont="1" applyFill="1" applyBorder="1" applyAlignment="1">
      <alignment vertical="center" wrapText="1"/>
    </xf>
    <xf numFmtId="0" fontId="0" fillId="0" borderId="9" xfId="0" applyBorder="1" applyAlignment="1">
      <alignment wrapText="1"/>
    </xf>
    <xf numFmtId="0" fontId="21" fillId="0" borderId="9" xfId="0" applyFont="1" applyBorder="1" applyAlignment="1">
      <alignment vertical="center" wrapText="1"/>
    </xf>
    <xf numFmtId="184" fontId="2" fillId="0" borderId="3" xfId="0" applyNumberFormat="1"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emf"/><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3.emf"/><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158300</xdr:colOff>
      <xdr:row>36</xdr:row>
      <xdr:rowOff>1637034</xdr:rowOff>
    </xdr:from>
    <xdr:to>
      <xdr:col>4</xdr:col>
      <xdr:colOff>0</xdr:colOff>
      <xdr:row>36</xdr:row>
      <xdr:rowOff>4819280</xdr:rowOff>
    </xdr:to>
    <xdr:pic>
      <xdr:nvPicPr>
        <xdr:cNvPr id="2" name="図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605915" y="4660900"/>
          <a:ext cx="6056630" cy="3181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108163</xdr:colOff>
      <xdr:row>39</xdr:row>
      <xdr:rowOff>715784</xdr:rowOff>
    </xdr:from>
    <xdr:to>
      <xdr:col>3</xdr:col>
      <xdr:colOff>2650923</xdr:colOff>
      <xdr:row>39</xdr:row>
      <xdr:rowOff>1087430</xdr:rowOff>
    </xdr:to>
    <xdr:pic>
      <xdr:nvPicPr>
        <xdr:cNvPr id="3" name="図 2"/>
        <xdr:cNvPicPr>
          <a:picLocks noChangeAspect="1"/>
        </xdr:cNvPicPr>
      </xdr:nvPicPr>
      <xdr:blipFill>
        <a:blip r:embed="rId2"/>
        <a:stretch>
          <a:fillRect/>
        </a:stretch>
      </xdr:blipFill>
      <xdr:spPr>
        <a:xfrm>
          <a:off x="1555750" y="14244320"/>
          <a:ext cx="2542540" cy="371475"/>
        </a:xfrm>
        <a:prstGeom prst="rect">
          <a:avLst/>
        </a:prstGeom>
      </xdr:spPr>
    </xdr:pic>
    <xdr:clientData/>
  </xdr:twoCellAnchor>
  <xdr:twoCellAnchor editAs="oneCell">
    <xdr:from>
      <xdr:col>9</xdr:col>
      <xdr:colOff>139212</xdr:colOff>
      <xdr:row>36</xdr:row>
      <xdr:rowOff>2696308</xdr:rowOff>
    </xdr:from>
    <xdr:to>
      <xdr:col>16</xdr:col>
      <xdr:colOff>259373</xdr:colOff>
      <xdr:row>36</xdr:row>
      <xdr:rowOff>4506058</xdr:rowOff>
    </xdr:to>
    <xdr:pic>
      <xdr:nvPicPr>
        <xdr:cNvPr id="4" name="図 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8434050" y="5720080"/>
          <a:ext cx="4920615"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65942</xdr:colOff>
      <xdr:row>36</xdr:row>
      <xdr:rowOff>102577</xdr:rowOff>
    </xdr:from>
    <xdr:to>
      <xdr:col>15</xdr:col>
      <xdr:colOff>411885</xdr:colOff>
      <xdr:row>36</xdr:row>
      <xdr:rowOff>2340672</xdr:rowOff>
    </xdr:to>
    <xdr:pic>
      <xdr:nvPicPr>
        <xdr:cNvPr id="5" name="図 4"/>
        <xdr:cNvPicPr>
          <a:picLocks noChangeAspect="1"/>
        </xdr:cNvPicPr>
      </xdr:nvPicPr>
      <xdr:blipFill>
        <a:blip r:embed="rId4"/>
        <a:stretch>
          <a:fillRect/>
        </a:stretch>
      </xdr:blipFill>
      <xdr:spPr>
        <a:xfrm>
          <a:off x="18360390" y="3126105"/>
          <a:ext cx="4460875" cy="2238375"/>
        </a:xfrm>
        <a:prstGeom prst="rect">
          <a:avLst/>
        </a:prstGeom>
      </xdr:spPr>
    </xdr:pic>
    <xdr:clientData/>
  </xdr:twoCellAnchor>
  <xdr:twoCellAnchor editAs="oneCell">
    <xdr:from>
      <xdr:col>3</xdr:col>
      <xdr:colOff>58617</xdr:colOff>
      <xdr:row>45</xdr:row>
      <xdr:rowOff>2329961</xdr:rowOff>
    </xdr:from>
    <xdr:to>
      <xdr:col>3</xdr:col>
      <xdr:colOff>2982529</xdr:colOff>
      <xdr:row>45</xdr:row>
      <xdr:rowOff>3648808</xdr:rowOff>
    </xdr:to>
    <xdr:pic>
      <xdr:nvPicPr>
        <xdr:cNvPr id="6" name="図 5"/>
        <xdr:cNvPicPr>
          <a:picLocks noChangeAspect="1"/>
        </xdr:cNvPicPr>
      </xdr:nvPicPr>
      <xdr:blipFill>
        <a:blip r:embed="rId4"/>
        <a:stretch>
          <a:fillRect/>
        </a:stretch>
      </xdr:blipFill>
      <xdr:spPr>
        <a:xfrm>
          <a:off x="1506220" y="33550225"/>
          <a:ext cx="2923540" cy="1318895"/>
        </a:xfrm>
        <a:prstGeom prst="rect">
          <a:avLst/>
        </a:prstGeom>
      </xdr:spPr>
    </xdr:pic>
    <xdr:clientData/>
  </xdr:twoCellAnchor>
  <xdr:twoCellAnchor editAs="oneCell">
    <xdr:from>
      <xdr:col>3</xdr:col>
      <xdr:colOff>3121270</xdr:colOff>
      <xdr:row>45</xdr:row>
      <xdr:rowOff>2271345</xdr:rowOff>
    </xdr:from>
    <xdr:to>
      <xdr:col>4</xdr:col>
      <xdr:colOff>0</xdr:colOff>
      <xdr:row>45</xdr:row>
      <xdr:rowOff>3693506</xdr:rowOff>
    </xdr:to>
    <xdr:pic>
      <xdr:nvPicPr>
        <xdr:cNvPr id="8" name="図 7"/>
        <xdr:cNvPicPr>
          <a:picLocks noChangeAspect="1"/>
        </xdr:cNvPicPr>
      </xdr:nvPicPr>
      <xdr:blipFill>
        <a:blip r:embed="rId5"/>
        <a:stretch>
          <a:fillRect/>
        </a:stretch>
      </xdr:blipFill>
      <xdr:spPr>
        <a:xfrm>
          <a:off x="4568825" y="33491170"/>
          <a:ext cx="3093720" cy="1422400"/>
        </a:xfrm>
        <a:prstGeom prst="rect">
          <a:avLst/>
        </a:prstGeom>
      </xdr:spPr>
    </xdr:pic>
    <xdr:clientData/>
  </xdr:twoCellAnchor>
  <xdr:twoCellAnchor editAs="oneCell">
    <xdr:from>
      <xdr:col>3</xdr:col>
      <xdr:colOff>124557</xdr:colOff>
      <xdr:row>46</xdr:row>
      <xdr:rowOff>918570</xdr:rowOff>
    </xdr:from>
    <xdr:to>
      <xdr:col>4</xdr:col>
      <xdr:colOff>0</xdr:colOff>
      <xdr:row>46</xdr:row>
      <xdr:rowOff>2518996</xdr:rowOff>
    </xdr:to>
    <xdr:pic>
      <xdr:nvPicPr>
        <xdr:cNvPr id="9" name="図 8"/>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572260" y="36091495"/>
          <a:ext cx="6090285"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153866</xdr:colOff>
      <xdr:row>48</xdr:row>
      <xdr:rowOff>461597</xdr:rowOff>
    </xdr:from>
    <xdr:to>
      <xdr:col>3</xdr:col>
      <xdr:colOff>3692769</xdr:colOff>
      <xdr:row>48</xdr:row>
      <xdr:rowOff>1940293</xdr:rowOff>
    </xdr:to>
    <xdr:pic>
      <xdr:nvPicPr>
        <xdr:cNvPr id="10" name="図 9"/>
        <xdr:cNvPicPr>
          <a:picLocks noChangeAspect="1"/>
        </xdr:cNvPicPr>
      </xdr:nvPicPr>
      <xdr:blipFill>
        <a:blip r:embed="rId7"/>
        <a:stretch>
          <a:fillRect/>
        </a:stretch>
      </xdr:blipFill>
      <xdr:spPr>
        <a:xfrm>
          <a:off x="1601470" y="38771195"/>
          <a:ext cx="3538855" cy="1478915"/>
        </a:xfrm>
        <a:prstGeom prst="rect">
          <a:avLst/>
        </a:prstGeom>
      </xdr:spPr>
    </xdr:pic>
    <xdr:clientData/>
  </xdr:twoCellAnchor>
  <xdr:twoCellAnchor editAs="oneCell">
    <xdr:from>
      <xdr:col>3</xdr:col>
      <xdr:colOff>246380</xdr:colOff>
      <xdr:row>49</xdr:row>
      <xdr:rowOff>597535</xdr:rowOff>
    </xdr:from>
    <xdr:to>
      <xdr:col>3</xdr:col>
      <xdr:colOff>3352995</xdr:colOff>
      <xdr:row>49</xdr:row>
      <xdr:rowOff>1171506</xdr:rowOff>
    </xdr:to>
    <xdr:pic>
      <xdr:nvPicPr>
        <xdr:cNvPr id="11" name="図 10"/>
        <xdr:cNvPicPr>
          <a:picLocks noChangeAspect="1"/>
        </xdr:cNvPicPr>
      </xdr:nvPicPr>
      <xdr:blipFill>
        <a:blip r:embed="rId8"/>
        <a:stretch>
          <a:fillRect/>
        </a:stretch>
      </xdr:blipFill>
      <xdr:spPr>
        <a:xfrm>
          <a:off x="1694180" y="40965120"/>
          <a:ext cx="3106420" cy="573405"/>
        </a:xfrm>
        <a:prstGeom prst="rect">
          <a:avLst/>
        </a:prstGeom>
      </xdr:spPr>
    </xdr:pic>
    <xdr:clientData/>
  </xdr:twoCellAnchor>
  <xdr:twoCellAnchor editAs="oneCell">
    <xdr:from>
      <xdr:col>3</xdr:col>
      <xdr:colOff>3465633</xdr:colOff>
      <xdr:row>49</xdr:row>
      <xdr:rowOff>571500</xdr:rowOff>
    </xdr:from>
    <xdr:to>
      <xdr:col>3</xdr:col>
      <xdr:colOff>6118185</xdr:colOff>
      <xdr:row>49</xdr:row>
      <xdr:rowOff>1099038</xdr:rowOff>
    </xdr:to>
    <xdr:pic>
      <xdr:nvPicPr>
        <xdr:cNvPr id="12" name="図 11"/>
        <xdr:cNvPicPr>
          <a:picLocks noChangeAspect="1"/>
        </xdr:cNvPicPr>
      </xdr:nvPicPr>
      <xdr:blipFill>
        <a:blip r:embed="rId9"/>
        <a:stretch>
          <a:fillRect/>
        </a:stretch>
      </xdr:blipFill>
      <xdr:spPr>
        <a:xfrm>
          <a:off x="4912995" y="40939085"/>
          <a:ext cx="2652395" cy="527050"/>
        </a:xfrm>
        <a:prstGeom prst="rect">
          <a:avLst/>
        </a:prstGeom>
      </xdr:spPr>
    </xdr:pic>
    <xdr:clientData/>
  </xdr:twoCellAnchor>
  <xdr:twoCellAnchor editAs="oneCell">
    <xdr:from>
      <xdr:col>3</xdr:col>
      <xdr:colOff>337037</xdr:colOff>
      <xdr:row>49</xdr:row>
      <xdr:rowOff>1223597</xdr:rowOff>
    </xdr:from>
    <xdr:to>
      <xdr:col>3</xdr:col>
      <xdr:colOff>2952748</xdr:colOff>
      <xdr:row>49</xdr:row>
      <xdr:rowOff>1763732</xdr:rowOff>
    </xdr:to>
    <xdr:pic>
      <xdr:nvPicPr>
        <xdr:cNvPr id="13" name="図 12"/>
        <xdr:cNvPicPr>
          <a:picLocks noChangeAspect="1"/>
        </xdr:cNvPicPr>
      </xdr:nvPicPr>
      <xdr:blipFill>
        <a:blip r:embed="rId10"/>
        <a:stretch>
          <a:fillRect/>
        </a:stretch>
      </xdr:blipFill>
      <xdr:spPr>
        <a:xfrm>
          <a:off x="1784350" y="41590595"/>
          <a:ext cx="2615565" cy="540385"/>
        </a:xfrm>
        <a:prstGeom prst="rect">
          <a:avLst/>
        </a:prstGeom>
      </xdr:spPr>
    </xdr:pic>
    <xdr:clientData/>
  </xdr:twoCellAnchor>
  <xdr:twoCellAnchor editAs="oneCell">
    <xdr:from>
      <xdr:col>3</xdr:col>
      <xdr:colOff>87924</xdr:colOff>
      <xdr:row>51</xdr:row>
      <xdr:rowOff>344367</xdr:rowOff>
    </xdr:from>
    <xdr:to>
      <xdr:col>3</xdr:col>
      <xdr:colOff>3831982</xdr:colOff>
      <xdr:row>51</xdr:row>
      <xdr:rowOff>1516263</xdr:rowOff>
    </xdr:to>
    <xdr:pic>
      <xdr:nvPicPr>
        <xdr:cNvPr id="14" name="図 13"/>
        <xdr:cNvPicPr>
          <a:picLocks noChangeAspect="1"/>
        </xdr:cNvPicPr>
      </xdr:nvPicPr>
      <xdr:blipFill>
        <a:blip r:embed="rId11"/>
        <a:stretch>
          <a:fillRect/>
        </a:stretch>
      </xdr:blipFill>
      <xdr:spPr>
        <a:xfrm>
          <a:off x="1535430" y="42981880"/>
          <a:ext cx="3743960" cy="1171575"/>
        </a:xfrm>
        <a:prstGeom prst="rect">
          <a:avLst/>
        </a:prstGeom>
      </xdr:spPr>
    </xdr:pic>
    <xdr:clientData/>
  </xdr:twoCellAnchor>
  <xdr:twoCellAnchor editAs="oneCell">
    <xdr:from>
      <xdr:col>3</xdr:col>
      <xdr:colOff>146539</xdr:colOff>
      <xdr:row>52</xdr:row>
      <xdr:rowOff>470419</xdr:rowOff>
    </xdr:from>
    <xdr:to>
      <xdr:col>3</xdr:col>
      <xdr:colOff>3494942</xdr:colOff>
      <xdr:row>52</xdr:row>
      <xdr:rowOff>1693752</xdr:rowOff>
    </xdr:to>
    <xdr:pic>
      <xdr:nvPicPr>
        <xdr:cNvPr id="15" name="図 14"/>
        <xdr:cNvPicPr>
          <a:picLocks noChangeAspect="1"/>
        </xdr:cNvPicPr>
      </xdr:nvPicPr>
      <xdr:blipFill>
        <a:blip r:embed="rId12"/>
        <a:stretch>
          <a:fillRect/>
        </a:stretch>
      </xdr:blipFill>
      <xdr:spPr>
        <a:xfrm>
          <a:off x="1593850" y="44822110"/>
          <a:ext cx="3348355" cy="1223645"/>
        </a:xfrm>
        <a:prstGeom prst="rect">
          <a:avLst/>
        </a:prstGeom>
      </xdr:spPr>
    </xdr:pic>
    <xdr:clientData/>
  </xdr:twoCellAnchor>
  <xdr:twoCellAnchor editAs="oneCell">
    <xdr:from>
      <xdr:col>3</xdr:col>
      <xdr:colOff>123825</xdr:colOff>
      <xdr:row>54</xdr:row>
      <xdr:rowOff>1842957</xdr:rowOff>
    </xdr:from>
    <xdr:to>
      <xdr:col>3</xdr:col>
      <xdr:colOff>4505325</xdr:colOff>
      <xdr:row>54</xdr:row>
      <xdr:rowOff>2498896</xdr:rowOff>
    </xdr:to>
    <xdr:pic>
      <xdr:nvPicPr>
        <xdr:cNvPr id="7" name="図 6"/>
        <xdr:cNvPicPr>
          <a:picLocks noChangeAspect="1"/>
        </xdr:cNvPicPr>
      </xdr:nvPicPr>
      <xdr:blipFill>
        <a:blip r:embed="rId13"/>
        <a:stretch>
          <a:fillRect/>
        </a:stretch>
      </xdr:blipFill>
      <xdr:spPr>
        <a:xfrm>
          <a:off x="1571625" y="49985930"/>
          <a:ext cx="4381500" cy="655955"/>
        </a:xfrm>
        <a:prstGeom prst="rect">
          <a:avLst/>
        </a:prstGeom>
      </xdr:spPr>
    </xdr:pic>
    <xdr:clientData/>
  </xdr:twoCellAnchor>
  <xdr:twoCellAnchor editAs="oneCell">
    <xdr:from>
      <xdr:col>3</xdr:col>
      <xdr:colOff>180976</xdr:colOff>
      <xdr:row>54</xdr:row>
      <xdr:rowOff>835717</xdr:rowOff>
    </xdr:from>
    <xdr:to>
      <xdr:col>3</xdr:col>
      <xdr:colOff>5419726</xdr:colOff>
      <xdr:row>54</xdr:row>
      <xdr:rowOff>1590494</xdr:rowOff>
    </xdr:to>
    <xdr:pic>
      <xdr:nvPicPr>
        <xdr:cNvPr id="16" name="図 15"/>
        <xdr:cNvPicPr>
          <a:picLocks noChangeAspect="1"/>
        </xdr:cNvPicPr>
      </xdr:nvPicPr>
      <xdr:blipFill>
        <a:blip r:embed="rId14"/>
        <a:stretch>
          <a:fillRect/>
        </a:stretch>
      </xdr:blipFill>
      <xdr:spPr>
        <a:xfrm>
          <a:off x="1628775" y="48978820"/>
          <a:ext cx="5238750" cy="75438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18</xdr:row>
      <xdr:rowOff>0</xdr:rowOff>
    </xdr:from>
    <xdr:to>
      <xdr:col>13</xdr:col>
      <xdr:colOff>171450</xdr:colOff>
      <xdr:row>38</xdr:row>
      <xdr:rowOff>114300</xdr:rowOff>
    </xdr:to>
    <xdr:pic>
      <xdr:nvPicPr>
        <xdr:cNvPr id="3" name="図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506855" y="4079875"/>
          <a:ext cx="7715250" cy="367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485775</xdr:colOff>
      <xdr:row>2</xdr:row>
      <xdr:rowOff>47625</xdr:rowOff>
    </xdr:from>
    <xdr:to>
      <xdr:col>7</xdr:col>
      <xdr:colOff>113680</xdr:colOff>
      <xdr:row>8</xdr:row>
      <xdr:rowOff>123545</xdr:rowOff>
    </xdr:to>
    <xdr:pic>
      <xdr:nvPicPr>
        <xdr:cNvPr id="3" name="図 2"/>
        <xdr:cNvPicPr>
          <a:picLocks noChangeAspect="1"/>
        </xdr:cNvPicPr>
      </xdr:nvPicPr>
      <xdr:blipFill>
        <a:blip r:embed="rId1"/>
        <a:stretch>
          <a:fillRect/>
        </a:stretch>
      </xdr:blipFill>
      <xdr:spPr>
        <a:xfrm>
          <a:off x="485775" y="419100"/>
          <a:ext cx="4428490" cy="2158365"/>
        </a:xfrm>
        <a:prstGeom prst="rect">
          <a:avLst/>
        </a:prstGeom>
      </xdr:spPr>
    </xdr:pic>
    <xdr:clientData/>
  </xdr:twoCellAnchor>
  <xdr:twoCellAnchor editAs="oneCell">
    <xdr:from>
      <xdr:col>0</xdr:col>
      <xdr:colOff>495300</xdr:colOff>
      <xdr:row>11</xdr:row>
      <xdr:rowOff>38100</xdr:rowOff>
    </xdr:from>
    <xdr:to>
      <xdr:col>7</xdr:col>
      <xdr:colOff>666750</xdr:colOff>
      <xdr:row>20</xdr:row>
      <xdr:rowOff>47625</xdr:rowOff>
    </xdr:to>
    <xdr:pic>
      <xdr:nvPicPr>
        <xdr:cNvPr id="5" name="図 4"/>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495300" y="3432175"/>
          <a:ext cx="49720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95250</xdr:colOff>
      <xdr:row>20</xdr:row>
      <xdr:rowOff>57150</xdr:rowOff>
    </xdr:from>
    <xdr:ext cx="1578253" cy="242335"/>
    <xdr:sp>
      <xdr:nvSpPr>
        <xdr:cNvPr id="6" name="テキスト ボックス 5"/>
        <xdr:cNvSpPr txBox="1"/>
      </xdr:nvSpPr>
      <xdr:spPr>
        <a:xfrm>
          <a:off x="2152650" y="5108575"/>
          <a:ext cx="1577975" cy="241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TICO Verification Results</a:t>
          </a:r>
          <a:endParaRPr kumimoji="1" lang="ja-JP" altLang="en-US" sz="1100"/>
        </a:p>
      </xdr:txBody>
    </xdr:sp>
    <xdr:clientData/>
  </xdr:oneCellAnchor>
  <xdr:twoCellAnchor editAs="oneCell">
    <xdr:from>
      <xdr:col>0</xdr:col>
      <xdr:colOff>0</xdr:colOff>
      <xdr:row>22</xdr:row>
      <xdr:rowOff>0</xdr:rowOff>
    </xdr:from>
    <xdr:to>
      <xdr:col>10</xdr:col>
      <xdr:colOff>0</xdr:colOff>
      <xdr:row>29</xdr:row>
      <xdr:rowOff>133032</xdr:rowOff>
    </xdr:to>
    <xdr:pic>
      <xdr:nvPicPr>
        <xdr:cNvPr id="7" name="図 6"/>
        <xdr:cNvPicPr>
          <a:picLocks noChangeAspect="1"/>
        </xdr:cNvPicPr>
      </xdr:nvPicPr>
      <xdr:blipFill>
        <a:blip r:embed="rId3"/>
        <a:stretch>
          <a:fillRect/>
        </a:stretch>
      </xdr:blipFill>
      <xdr:spPr>
        <a:xfrm>
          <a:off x="0" y="5416550"/>
          <a:ext cx="6858000" cy="2409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85"/>
  <sheetViews>
    <sheetView tabSelected="1" zoomScale="85" zoomScaleNormal="85" topLeftCell="C54" workbookViewId="0">
      <selection activeCell="G57" sqref="G57"/>
    </sheetView>
  </sheetViews>
  <sheetFormatPr defaultColWidth="9" defaultRowHeight="14"/>
  <cols>
    <col min="1" max="1" width="3.66666666666667" style="56" customWidth="1"/>
    <col min="2" max="2" width="6" style="57" customWidth="1"/>
    <col min="3" max="3" width="9.33333333333333" style="57" customWidth="1"/>
    <col min="4" max="4" width="81.5583333333333" style="56" customWidth="1"/>
    <col min="5" max="5" width="4.88333333333333" style="57" customWidth="1"/>
    <col min="6" max="6" width="7.66666666666667" style="58" customWidth="1"/>
    <col min="7" max="7" width="8.88333333333333" style="57" customWidth="1"/>
    <col min="8" max="8" width="67.8833333333333" style="56" customWidth="1"/>
    <col min="9" max="9" width="50.2166666666667" style="59" customWidth="1"/>
    <col min="10" max="16384" width="9" style="56"/>
  </cols>
  <sheetData>
    <row r="1" ht="28" spans="1:9">
      <c r="A1" s="60" t="s">
        <v>0</v>
      </c>
      <c r="B1" s="61" t="s">
        <v>1</v>
      </c>
      <c r="C1" s="61" t="s">
        <v>2</v>
      </c>
      <c r="D1" s="62" t="s">
        <v>3</v>
      </c>
      <c r="E1" s="61" t="s">
        <v>4</v>
      </c>
      <c r="F1" s="61" t="s">
        <v>5</v>
      </c>
      <c r="G1" s="61" t="s">
        <v>6</v>
      </c>
      <c r="H1" s="63" t="s">
        <v>7</v>
      </c>
      <c r="I1" s="63" t="s">
        <v>8</v>
      </c>
    </row>
    <row r="2" ht="28" hidden="1" spans="1:9">
      <c r="A2" s="64">
        <v>1</v>
      </c>
      <c r="B2" s="61" t="s">
        <v>9</v>
      </c>
      <c r="C2" s="61" t="s">
        <v>9</v>
      </c>
      <c r="D2" s="60" t="s">
        <v>10</v>
      </c>
      <c r="E2" s="61" t="s">
        <v>11</v>
      </c>
      <c r="F2" s="65">
        <v>45953</v>
      </c>
      <c r="G2" s="61" t="s">
        <v>12</v>
      </c>
      <c r="H2" s="66" t="s">
        <v>13</v>
      </c>
      <c r="I2" s="100" t="s">
        <v>14</v>
      </c>
    </row>
    <row r="3" ht="28" hidden="1" spans="1:9">
      <c r="A3" s="60">
        <v>2</v>
      </c>
      <c r="B3" s="61" t="s">
        <v>9</v>
      </c>
      <c r="C3" s="61" t="s">
        <v>9</v>
      </c>
      <c r="D3" s="60" t="s">
        <v>15</v>
      </c>
      <c r="E3" s="61" t="s">
        <v>11</v>
      </c>
      <c r="F3" s="65">
        <v>45953</v>
      </c>
      <c r="G3" s="61" t="s">
        <v>12</v>
      </c>
      <c r="H3" s="60" t="s">
        <v>16</v>
      </c>
      <c r="I3" s="63" t="s">
        <v>17</v>
      </c>
    </row>
    <row r="4" ht="56" hidden="1" spans="1:9">
      <c r="A4" s="60">
        <v>3</v>
      </c>
      <c r="B4" s="61" t="s">
        <v>9</v>
      </c>
      <c r="C4" s="61" t="s">
        <v>9</v>
      </c>
      <c r="D4" s="60" t="s">
        <v>18</v>
      </c>
      <c r="E4" s="61" t="s">
        <v>11</v>
      </c>
      <c r="F4" s="65">
        <v>45953</v>
      </c>
      <c r="G4" s="61" t="s">
        <v>12</v>
      </c>
      <c r="H4" s="60" t="s">
        <v>16</v>
      </c>
      <c r="I4" s="63" t="s">
        <v>17</v>
      </c>
    </row>
    <row r="5" ht="98" hidden="1" spans="1:9">
      <c r="A5" s="60">
        <v>4</v>
      </c>
      <c r="B5" s="61" t="s">
        <v>9</v>
      </c>
      <c r="C5" s="61" t="s">
        <v>9</v>
      </c>
      <c r="D5" s="60" t="s">
        <v>19</v>
      </c>
      <c r="E5" s="61" t="s">
        <v>11</v>
      </c>
      <c r="F5" s="65">
        <v>45953</v>
      </c>
      <c r="G5" s="61" t="s">
        <v>12</v>
      </c>
      <c r="H5" s="63" t="s">
        <v>20</v>
      </c>
      <c r="I5" s="100" t="s">
        <v>21</v>
      </c>
    </row>
    <row r="6" ht="28" hidden="1" spans="1:9">
      <c r="A6" s="60">
        <v>5</v>
      </c>
      <c r="B6" s="61" t="s">
        <v>9</v>
      </c>
      <c r="C6" s="61" t="s">
        <v>9</v>
      </c>
      <c r="D6" s="60" t="s">
        <v>22</v>
      </c>
      <c r="E6" s="61" t="s">
        <v>11</v>
      </c>
      <c r="F6" s="65">
        <v>45953</v>
      </c>
      <c r="G6" s="61" t="s">
        <v>12</v>
      </c>
      <c r="H6" s="60" t="s">
        <v>23</v>
      </c>
      <c r="I6" s="63" t="s">
        <v>24</v>
      </c>
    </row>
    <row r="7" ht="98" hidden="1" spans="1:9">
      <c r="A7" s="60">
        <v>6</v>
      </c>
      <c r="B7" s="61" t="s">
        <v>9</v>
      </c>
      <c r="C7" s="61" t="s">
        <v>9</v>
      </c>
      <c r="D7" s="60" t="s">
        <v>25</v>
      </c>
      <c r="E7" s="61" t="s">
        <v>11</v>
      </c>
      <c r="F7" s="65">
        <v>45953</v>
      </c>
      <c r="G7" s="61" t="s">
        <v>12</v>
      </c>
      <c r="H7" s="60" t="s">
        <v>23</v>
      </c>
      <c r="I7" s="63" t="s">
        <v>24</v>
      </c>
    </row>
    <row r="8" ht="56" hidden="1" spans="1:9">
      <c r="A8" s="60">
        <v>7</v>
      </c>
      <c r="B8" s="61" t="s">
        <v>9</v>
      </c>
      <c r="C8" s="61" t="s">
        <v>9</v>
      </c>
      <c r="D8" s="60" t="s">
        <v>26</v>
      </c>
      <c r="E8" s="61" t="s">
        <v>11</v>
      </c>
      <c r="F8" s="65">
        <v>45953</v>
      </c>
      <c r="G8" s="61" t="s">
        <v>12</v>
      </c>
      <c r="H8" s="60" t="s">
        <v>23</v>
      </c>
      <c r="I8" s="63" t="s">
        <v>24</v>
      </c>
    </row>
    <row r="9" ht="28" hidden="1" spans="1:9">
      <c r="A9" s="60">
        <v>8</v>
      </c>
      <c r="B9" s="61" t="s">
        <v>9</v>
      </c>
      <c r="C9" s="61" t="s">
        <v>9</v>
      </c>
      <c r="D9" s="60" t="s">
        <v>27</v>
      </c>
      <c r="E9" s="61" t="s">
        <v>11</v>
      </c>
      <c r="F9" s="65">
        <v>45953</v>
      </c>
      <c r="G9" s="61" t="s">
        <v>12</v>
      </c>
      <c r="H9" s="60" t="s">
        <v>23</v>
      </c>
      <c r="I9" s="63" t="s">
        <v>24</v>
      </c>
    </row>
    <row r="10" ht="168" hidden="1" spans="1:9">
      <c r="A10" s="60">
        <v>9</v>
      </c>
      <c r="B10" s="61">
        <v>10</v>
      </c>
      <c r="C10" s="61">
        <v>2.6</v>
      </c>
      <c r="D10" s="60" t="s">
        <v>28</v>
      </c>
      <c r="E10" s="61" t="s">
        <v>11</v>
      </c>
      <c r="F10" s="65">
        <v>45953</v>
      </c>
      <c r="G10" s="61" t="s">
        <v>12</v>
      </c>
      <c r="H10" s="60" t="s">
        <v>29</v>
      </c>
      <c r="I10" s="100" t="s">
        <v>30</v>
      </c>
    </row>
    <row r="11" ht="140" hidden="1" spans="1:9">
      <c r="A11" s="60">
        <v>10</v>
      </c>
      <c r="B11" s="61">
        <v>10</v>
      </c>
      <c r="C11" s="61" t="s">
        <v>31</v>
      </c>
      <c r="D11" s="60" t="s">
        <v>32</v>
      </c>
      <c r="E11" s="61" t="s">
        <v>11</v>
      </c>
      <c r="F11" s="65">
        <v>45953</v>
      </c>
      <c r="G11" s="61" t="s">
        <v>12</v>
      </c>
      <c r="H11" s="67" t="s">
        <v>33</v>
      </c>
      <c r="I11" s="100" t="s">
        <v>34</v>
      </c>
    </row>
    <row r="12" ht="112" hidden="1" spans="1:9">
      <c r="A12" s="60">
        <v>11</v>
      </c>
      <c r="B12" s="61">
        <v>12</v>
      </c>
      <c r="C12" s="61" t="s">
        <v>35</v>
      </c>
      <c r="D12" s="60" t="s">
        <v>36</v>
      </c>
      <c r="E12" s="61" t="s">
        <v>11</v>
      </c>
      <c r="F12" s="65">
        <v>45953</v>
      </c>
      <c r="G12" s="61" t="s">
        <v>12</v>
      </c>
      <c r="H12" s="60" t="s">
        <v>37</v>
      </c>
      <c r="I12" s="100" t="s">
        <v>38</v>
      </c>
    </row>
    <row r="13" ht="56" hidden="1" spans="1:9">
      <c r="A13" s="60">
        <v>12</v>
      </c>
      <c r="B13" s="61">
        <v>12</v>
      </c>
      <c r="C13" s="61" t="s">
        <v>39</v>
      </c>
      <c r="D13" s="60" t="s">
        <v>40</v>
      </c>
      <c r="E13" s="61" t="s">
        <v>11</v>
      </c>
      <c r="F13" s="65">
        <v>45953</v>
      </c>
      <c r="G13" s="61" t="s">
        <v>12</v>
      </c>
      <c r="H13" s="67" t="s">
        <v>41</v>
      </c>
      <c r="I13" s="100" t="s">
        <v>42</v>
      </c>
    </row>
    <row r="14" ht="70" hidden="1" spans="1:9">
      <c r="A14" s="60">
        <v>13</v>
      </c>
      <c r="B14" s="61">
        <v>12</v>
      </c>
      <c r="C14" s="61" t="s">
        <v>39</v>
      </c>
      <c r="D14" s="60" t="s">
        <v>43</v>
      </c>
      <c r="E14" s="61" t="s">
        <v>11</v>
      </c>
      <c r="F14" s="65">
        <v>45953</v>
      </c>
      <c r="G14" s="61" t="s">
        <v>12</v>
      </c>
      <c r="H14" s="67" t="s">
        <v>44</v>
      </c>
      <c r="I14" s="100" t="s">
        <v>45</v>
      </c>
    </row>
    <row r="15" ht="56" hidden="1" spans="1:9">
      <c r="A15" s="60">
        <v>14</v>
      </c>
      <c r="B15" s="61">
        <v>12</v>
      </c>
      <c r="C15" s="61" t="s">
        <v>39</v>
      </c>
      <c r="D15" s="60" t="s">
        <v>46</v>
      </c>
      <c r="E15" s="61" t="s">
        <v>11</v>
      </c>
      <c r="F15" s="65">
        <v>45953</v>
      </c>
      <c r="G15" s="61" t="s">
        <v>12</v>
      </c>
      <c r="H15" s="67" t="s">
        <v>37</v>
      </c>
      <c r="I15" s="100" t="s">
        <v>38</v>
      </c>
    </row>
    <row r="16" ht="56" hidden="1" spans="1:9">
      <c r="A16" s="60">
        <v>15</v>
      </c>
      <c r="B16" s="61">
        <v>13</v>
      </c>
      <c r="C16" s="61" t="s">
        <v>47</v>
      </c>
      <c r="D16" s="60" t="s">
        <v>48</v>
      </c>
      <c r="E16" s="61" t="s">
        <v>11</v>
      </c>
      <c r="F16" s="65">
        <v>45953</v>
      </c>
      <c r="G16" s="61" t="s">
        <v>12</v>
      </c>
      <c r="H16" s="67" t="s">
        <v>49</v>
      </c>
      <c r="I16" s="100" t="s">
        <v>50</v>
      </c>
    </row>
    <row r="17" ht="28" hidden="1" spans="1:9">
      <c r="A17" s="60">
        <v>16</v>
      </c>
      <c r="B17" s="61">
        <v>14</v>
      </c>
      <c r="C17" s="61" t="s">
        <v>51</v>
      </c>
      <c r="D17" s="60" t="s">
        <v>10</v>
      </c>
      <c r="E17" s="61" t="s">
        <v>11</v>
      </c>
      <c r="F17" s="65">
        <v>45953</v>
      </c>
      <c r="G17" s="61" t="s">
        <v>12</v>
      </c>
      <c r="H17" s="67" t="s">
        <v>49</v>
      </c>
      <c r="I17" s="100" t="s">
        <v>50</v>
      </c>
    </row>
    <row r="18" ht="28" hidden="1" spans="1:9">
      <c r="A18" s="60">
        <v>17</v>
      </c>
      <c r="B18" s="61">
        <v>14</v>
      </c>
      <c r="C18" s="61" t="s">
        <v>52</v>
      </c>
      <c r="D18" s="60" t="s">
        <v>53</v>
      </c>
      <c r="E18" s="61" t="s">
        <v>11</v>
      </c>
      <c r="F18" s="65">
        <v>45953</v>
      </c>
      <c r="G18" s="61" t="s">
        <v>12</v>
      </c>
      <c r="H18" s="67" t="s">
        <v>49</v>
      </c>
      <c r="I18" s="100" t="s">
        <v>50</v>
      </c>
    </row>
    <row r="19" ht="72" hidden="1" customHeight="1" spans="1:9">
      <c r="A19" s="60">
        <v>18</v>
      </c>
      <c r="B19" s="61">
        <v>14</v>
      </c>
      <c r="C19" s="61" t="s">
        <v>54</v>
      </c>
      <c r="D19" s="60" t="s">
        <v>55</v>
      </c>
      <c r="E19" s="61" t="s">
        <v>11</v>
      </c>
      <c r="F19" s="65">
        <v>45953</v>
      </c>
      <c r="G19" s="61" t="s">
        <v>12</v>
      </c>
      <c r="H19" s="67" t="s">
        <v>56</v>
      </c>
      <c r="I19" s="100" t="s">
        <v>57</v>
      </c>
    </row>
    <row r="20" ht="70" hidden="1" spans="1:9">
      <c r="A20" s="60">
        <v>19</v>
      </c>
      <c r="B20" s="61">
        <v>15</v>
      </c>
      <c r="C20" s="61" t="s">
        <v>58</v>
      </c>
      <c r="D20" s="60" t="s">
        <v>59</v>
      </c>
      <c r="E20" s="61" t="s">
        <v>11</v>
      </c>
      <c r="F20" s="65">
        <v>45953</v>
      </c>
      <c r="G20" s="61" t="s">
        <v>12</v>
      </c>
      <c r="H20" s="67" t="s">
        <v>56</v>
      </c>
      <c r="I20" s="100" t="s">
        <v>57</v>
      </c>
    </row>
    <row r="21" ht="28" hidden="1" spans="1:9">
      <c r="A21" s="60">
        <v>20</v>
      </c>
      <c r="B21" s="61">
        <v>15</v>
      </c>
      <c r="C21" s="61" t="s">
        <v>58</v>
      </c>
      <c r="D21" s="60" t="s">
        <v>10</v>
      </c>
      <c r="E21" s="61" t="s">
        <v>11</v>
      </c>
      <c r="F21" s="65">
        <v>45953</v>
      </c>
      <c r="G21" s="61" t="s">
        <v>12</v>
      </c>
      <c r="H21" s="67" t="s">
        <v>56</v>
      </c>
      <c r="I21" s="100" t="s">
        <v>57</v>
      </c>
    </row>
    <row r="22" ht="28" hidden="1" spans="1:9">
      <c r="A22" s="60">
        <v>21</v>
      </c>
      <c r="B22" s="61">
        <v>15</v>
      </c>
      <c r="C22" s="61" t="s">
        <v>60</v>
      </c>
      <c r="D22" s="60" t="s">
        <v>61</v>
      </c>
      <c r="E22" s="61" t="s">
        <v>11</v>
      </c>
      <c r="F22" s="65">
        <v>45953</v>
      </c>
      <c r="G22" s="61" t="s">
        <v>12</v>
      </c>
      <c r="H22" s="67" t="s">
        <v>56</v>
      </c>
      <c r="I22" s="100" t="s">
        <v>57</v>
      </c>
    </row>
    <row r="23" ht="56" hidden="1" spans="1:9">
      <c r="A23" s="68">
        <f>IF(ISBLANK(B23),"",ROW()-1)</f>
        <v>22</v>
      </c>
      <c r="B23" s="69">
        <v>1</v>
      </c>
      <c r="C23" s="69" t="s">
        <v>62</v>
      </c>
      <c r="D23" s="68" t="s">
        <v>63</v>
      </c>
      <c r="E23" s="69" t="s">
        <v>64</v>
      </c>
      <c r="F23" s="70">
        <v>45987</v>
      </c>
      <c r="G23" s="69" t="s">
        <v>65</v>
      </c>
      <c r="H23" s="60" t="s">
        <v>66</v>
      </c>
      <c r="I23" s="100" t="s">
        <v>67</v>
      </c>
    </row>
    <row r="24" ht="42" hidden="1" spans="1:9">
      <c r="A24" s="68">
        <f>IF(ISBLANK(B24),"",ROW()-1)</f>
        <v>23</v>
      </c>
      <c r="B24" s="69">
        <v>6</v>
      </c>
      <c r="C24" s="69">
        <v>1.1</v>
      </c>
      <c r="D24" s="68" t="s">
        <v>68</v>
      </c>
      <c r="E24" s="69" t="s">
        <v>69</v>
      </c>
      <c r="F24" s="70">
        <v>45987</v>
      </c>
      <c r="G24" s="69" t="s">
        <v>65</v>
      </c>
      <c r="H24" s="60" t="s">
        <v>70</v>
      </c>
      <c r="I24" s="100" t="s">
        <v>71</v>
      </c>
    </row>
    <row r="25" ht="28" hidden="1" spans="1:9">
      <c r="A25" s="68">
        <f>IF(ISBLANK(B25),"",ROW()-1)</f>
        <v>24</v>
      </c>
      <c r="B25" s="69">
        <v>6</v>
      </c>
      <c r="C25" s="69">
        <v>1.1</v>
      </c>
      <c r="D25" s="68" t="s">
        <v>72</v>
      </c>
      <c r="E25" s="69" t="s">
        <v>64</v>
      </c>
      <c r="F25" s="70">
        <v>45987</v>
      </c>
      <c r="G25" s="69" t="s">
        <v>65</v>
      </c>
      <c r="H25" s="63" t="s">
        <v>73</v>
      </c>
      <c r="I25" s="100" t="s">
        <v>74</v>
      </c>
    </row>
    <row r="26" ht="56" hidden="1" spans="1:9">
      <c r="A26" s="68">
        <f>IF(ISBLANK(B26),"",ROW()-1)</f>
        <v>25</v>
      </c>
      <c r="B26" s="69">
        <v>6</v>
      </c>
      <c r="C26" s="69" t="s">
        <v>75</v>
      </c>
      <c r="D26" s="68" t="s">
        <v>76</v>
      </c>
      <c r="E26" s="69" t="s">
        <v>64</v>
      </c>
      <c r="F26" s="70">
        <v>45987</v>
      </c>
      <c r="G26" s="69" t="s">
        <v>65</v>
      </c>
      <c r="H26" s="60" t="s">
        <v>77</v>
      </c>
      <c r="I26" s="100" t="s">
        <v>78</v>
      </c>
    </row>
    <row r="27" ht="42" hidden="1" spans="1:9">
      <c r="A27" s="68">
        <f t="shared" ref="A27:A57" si="0">IF(ISBLANK(B27),"",ROW()-1)</f>
        <v>26</v>
      </c>
      <c r="B27" s="69">
        <v>6</v>
      </c>
      <c r="C27" s="69" t="s">
        <v>79</v>
      </c>
      <c r="D27" s="68" t="s">
        <v>80</v>
      </c>
      <c r="E27" s="69" t="s">
        <v>64</v>
      </c>
      <c r="F27" s="70">
        <v>45987</v>
      </c>
      <c r="G27" s="69" t="s">
        <v>65</v>
      </c>
      <c r="H27" s="60" t="s">
        <v>81</v>
      </c>
      <c r="I27" s="100" t="s">
        <v>82</v>
      </c>
    </row>
    <row r="28" ht="56" hidden="1" spans="1:9">
      <c r="A28" s="68">
        <f t="shared" si="0"/>
        <v>27</v>
      </c>
      <c r="B28" s="69">
        <v>6</v>
      </c>
      <c r="C28" s="69">
        <v>1.2</v>
      </c>
      <c r="D28" s="68" t="s">
        <v>83</v>
      </c>
      <c r="E28" s="69" t="s">
        <v>69</v>
      </c>
      <c r="F28" s="70">
        <v>45987</v>
      </c>
      <c r="G28" s="69" t="s">
        <v>65</v>
      </c>
      <c r="H28" s="60" t="s">
        <v>84</v>
      </c>
      <c r="I28" s="100" t="s">
        <v>85</v>
      </c>
    </row>
    <row r="29" ht="56" hidden="1" spans="1:9">
      <c r="A29" s="68">
        <f t="shared" si="0"/>
        <v>28</v>
      </c>
      <c r="B29" s="69">
        <v>6</v>
      </c>
      <c r="C29" s="69">
        <v>1.2</v>
      </c>
      <c r="D29" s="68" t="s">
        <v>86</v>
      </c>
      <c r="E29" s="69" t="s">
        <v>64</v>
      </c>
      <c r="F29" s="70">
        <v>45987</v>
      </c>
      <c r="G29" s="69" t="s">
        <v>65</v>
      </c>
      <c r="H29" s="60" t="s">
        <v>87</v>
      </c>
      <c r="I29" s="100" t="s">
        <v>88</v>
      </c>
    </row>
    <row r="30" hidden="1" spans="1:9">
      <c r="A30" s="68">
        <f t="shared" si="0"/>
        <v>29</v>
      </c>
      <c r="B30" s="69">
        <v>7</v>
      </c>
      <c r="C30" s="69" t="s">
        <v>89</v>
      </c>
      <c r="D30" s="68" t="s">
        <v>90</v>
      </c>
      <c r="E30" s="69" t="s">
        <v>91</v>
      </c>
      <c r="F30" s="70">
        <v>45987</v>
      </c>
      <c r="G30" s="69" t="s">
        <v>65</v>
      </c>
      <c r="H30" s="60" t="s">
        <v>92</v>
      </c>
      <c r="I30" s="100" t="s">
        <v>93</v>
      </c>
    </row>
    <row r="31" ht="60" hidden="1" customHeight="1" spans="1:9">
      <c r="A31" s="68">
        <f t="shared" si="0"/>
        <v>30</v>
      </c>
      <c r="B31" s="69">
        <v>7</v>
      </c>
      <c r="C31" s="69">
        <v>1.3</v>
      </c>
      <c r="D31" s="68" t="s">
        <v>94</v>
      </c>
      <c r="E31" s="69" t="s">
        <v>91</v>
      </c>
      <c r="F31" s="70">
        <v>45987</v>
      </c>
      <c r="G31" s="69" t="s">
        <v>65</v>
      </c>
      <c r="H31" s="60" t="s">
        <v>95</v>
      </c>
      <c r="I31" s="100" t="s">
        <v>96</v>
      </c>
    </row>
    <row r="32" ht="84" hidden="1" spans="1:9">
      <c r="A32" s="71">
        <f t="shared" si="0"/>
        <v>31</v>
      </c>
      <c r="B32" s="72">
        <v>8</v>
      </c>
      <c r="C32" s="72">
        <v>2</v>
      </c>
      <c r="D32" s="71" t="s">
        <v>97</v>
      </c>
      <c r="E32" s="72" t="s">
        <v>64</v>
      </c>
      <c r="F32" s="73">
        <v>45989</v>
      </c>
      <c r="G32" s="72" t="s">
        <v>65</v>
      </c>
      <c r="H32" s="71" t="s">
        <v>98</v>
      </c>
      <c r="I32" s="100" t="s">
        <v>99</v>
      </c>
    </row>
    <row r="33" ht="60" hidden="1" customHeight="1" spans="1:9">
      <c r="A33" s="71">
        <f t="shared" si="0"/>
        <v>32</v>
      </c>
      <c r="B33" s="72">
        <v>8</v>
      </c>
      <c r="C33" s="72">
        <v>2</v>
      </c>
      <c r="D33" s="71" t="s">
        <v>100</v>
      </c>
      <c r="E33" s="72" t="s">
        <v>69</v>
      </c>
      <c r="F33" s="73">
        <v>45989</v>
      </c>
      <c r="G33" s="72" t="s">
        <v>65</v>
      </c>
      <c r="H33" s="71" t="s">
        <v>101</v>
      </c>
      <c r="I33" s="100" t="s">
        <v>102</v>
      </c>
    </row>
    <row r="34" ht="56" spans="1:10">
      <c r="A34" s="71">
        <v>33</v>
      </c>
      <c r="B34" s="72">
        <v>25</v>
      </c>
      <c r="C34" s="72" t="s">
        <v>31</v>
      </c>
      <c r="D34" s="71" t="s">
        <v>103</v>
      </c>
      <c r="E34" s="72"/>
      <c r="F34" s="73">
        <v>45999</v>
      </c>
      <c r="G34" s="72" t="s">
        <v>12</v>
      </c>
      <c r="H34" s="67" t="s">
        <v>104</v>
      </c>
      <c r="I34" s="63" t="s">
        <v>105</v>
      </c>
      <c r="J34" s="59" t="s">
        <v>106</v>
      </c>
    </row>
    <row r="35" ht="98.1" customHeight="1" spans="1:9">
      <c r="A35" s="74">
        <f t="shared" si="0"/>
        <v>34</v>
      </c>
      <c r="B35" s="75" t="s">
        <v>9</v>
      </c>
      <c r="C35" s="75"/>
      <c r="D35" s="76" t="s">
        <v>107</v>
      </c>
      <c r="E35" s="72"/>
      <c r="F35" s="73">
        <v>45999</v>
      </c>
      <c r="G35" s="72" t="s">
        <v>12</v>
      </c>
      <c r="H35" s="77" t="s">
        <v>108</v>
      </c>
      <c r="I35" s="101" t="s">
        <v>109</v>
      </c>
    </row>
    <row r="36" ht="56" spans="1:10">
      <c r="A36" s="71">
        <f t="shared" si="0"/>
        <v>35</v>
      </c>
      <c r="B36" s="72" t="s">
        <v>9</v>
      </c>
      <c r="C36" s="72"/>
      <c r="D36" s="78" t="s">
        <v>110</v>
      </c>
      <c r="E36" s="72"/>
      <c r="F36" s="73">
        <v>45999</v>
      </c>
      <c r="G36" s="72" t="s">
        <v>12</v>
      </c>
      <c r="H36" s="67" t="s">
        <v>111</v>
      </c>
      <c r="I36" s="102" t="s">
        <v>112</v>
      </c>
      <c r="J36" s="59" t="s">
        <v>106</v>
      </c>
    </row>
    <row r="37" ht="383.1" customHeight="1" spans="1:9">
      <c r="A37" s="74">
        <f t="shared" si="0"/>
        <v>36</v>
      </c>
      <c r="B37" s="75">
        <v>33</v>
      </c>
      <c r="C37" s="75" t="s">
        <v>113</v>
      </c>
      <c r="D37" s="79" t="s">
        <v>114</v>
      </c>
      <c r="E37" s="72"/>
      <c r="F37" s="73">
        <v>45999</v>
      </c>
      <c r="G37" s="72" t="s">
        <v>12</v>
      </c>
      <c r="H37" s="80" t="s">
        <v>115</v>
      </c>
      <c r="I37" s="80" t="s">
        <v>116</v>
      </c>
    </row>
    <row r="38" ht="409.35" customHeight="1" spans="1:10">
      <c r="A38" s="81">
        <f t="shared" si="0"/>
        <v>37</v>
      </c>
      <c r="B38" s="82">
        <v>40</v>
      </c>
      <c r="C38" s="82" t="s">
        <v>117</v>
      </c>
      <c r="D38" s="81" t="s">
        <v>118</v>
      </c>
      <c r="E38" s="82"/>
      <c r="F38" s="83">
        <v>45999</v>
      </c>
      <c r="G38" s="82" t="s">
        <v>12</v>
      </c>
      <c r="H38" s="84" t="s">
        <v>119</v>
      </c>
      <c r="I38" s="60" t="s">
        <v>120</v>
      </c>
      <c r="J38" s="59" t="s">
        <v>106</v>
      </c>
    </row>
    <row r="39" ht="34.7" customHeight="1" spans="1:9">
      <c r="A39" s="85"/>
      <c r="B39" s="86"/>
      <c r="C39" s="86"/>
      <c r="D39" s="85"/>
      <c r="E39" s="86"/>
      <c r="F39" s="87"/>
      <c r="G39" s="86"/>
      <c r="H39" s="88"/>
      <c r="I39" s="60"/>
    </row>
    <row r="40" ht="409.5" spans="1:10">
      <c r="A40" s="71">
        <f t="shared" si="0"/>
        <v>39</v>
      </c>
      <c r="B40" s="72" t="s">
        <v>121</v>
      </c>
      <c r="C40" s="72" t="s">
        <v>122</v>
      </c>
      <c r="D40" s="71" t="s">
        <v>123</v>
      </c>
      <c r="E40" s="72"/>
      <c r="F40" s="73">
        <v>45999</v>
      </c>
      <c r="G40" s="72" t="s">
        <v>12</v>
      </c>
      <c r="H40" s="67" t="s">
        <v>124</v>
      </c>
      <c r="I40" s="60" t="s">
        <v>125</v>
      </c>
      <c r="J40" s="59" t="s">
        <v>106</v>
      </c>
    </row>
    <row r="41" ht="233.1" customHeight="1" spans="1:10">
      <c r="A41" s="71">
        <f t="shared" si="0"/>
        <v>40</v>
      </c>
      <c r="B41" s="72">
        <v>88</v>
      </c>
      <c r="C41" s="72" t="s">
        <v>126</v>
      </c>
      <c r="D41" s="71" t="s">
        <v>127</v>
      </c>
      <c r="E41" s="72"/>
      <c r="F41" s="73">
        <v>45999</v>
      </c>
      <c r="G41" s="72" t="s">
        <v>12</v>
      </c>
      <c r="H41" s="67" t="s">
        <v>128</v>
      </c>
      <c r="I41" s="60" t="s">
        <v>129</v>
      </c>
      <c r="J41" s="59" t="s">
        <v>106</v>
      </c>
    </row>
    <row r="42" ht="309" customHeight="1" spans="1:10">
      <c r="A42" s="71">
        <f t="shared" si="0"/>
        <v>41</v>
      </c>
      <c r="B42" s="72" t="s">
        <v>130</v>
      </c>
      <c r="C42" s="72" t="s">
        <v>131</v>
      </c>
      <c r="D42" s="71" t="s">
        <v>132</v>
      </c>
      <c r="E42" s="72"/>
      <c r="F42" s="73">
        <v>45999</v>
      </c>
      <c r="G42" s="72" t="s">
        <v>12</v>
      </c>
      <c r="H42" s="67" t="s">
        <v>133</v>
      </c>
      <c r="I42" s="60" t="s">
        <v>134</v>
      </c>
      <c r="J42" s="59" t="s">
        <v>106</v>
      </c>
    </row>
    <row r="43" ht="329.45" customHeight="1" spans="1:10">
      <c r="A43" s="71">
        <f t="shared" si="0"/>
        <v>42</v>
      </c>
      <c r="B43" s="72">
        <v>101</v>
      </c>
      <c r="C43" s="72" t="s">
        <v>135</v>
      </c>
      <c r="D43" s="71" t="s">
        <v>136</v>
      </c>
      <c r="E43" s="72"/>
      <c r="F43" s="73">
        <v>45999</v>
      </c>
      <c r="G43" s="72" t="s">
        <v>12</v>
      </c>
      <c r="H43" s="67" t="s">
        <v>137</v>
      </c>
      <c r="I43" s="60" t="s">
        <v>138</v>
      </c>
      <c r="J43" s="59" t="s">
        <v>106</v>
      </c>
    </row>
    <row r="44" ht="56" spans="1:10">
      <c r="A44" s="71">
        <f t="shared" si="0"/>
        <v>43</v>
      </c>
      <c r="B44" s="72" t="s">
        <v>139</v>
      </c>
      <c r="C44" s="72" t="s">
        <v>140</v>
      </c>
      <c r="D44" s="89" t="s">
        <v>141</v>
      </c>
      <c r="E44" s="72"/>
      <c r="F44" s="73">
        <v>45999</v>
      </c>
      <c r="G44" s="72" t="s">
        <v>12</v>
      </c>
      <c r="H44" s="67" t="s">
        <v>142</v>
      </c>
      <c r="I44" s="60" t="s">
        <v>143</v>
      </c>
      <c r="J44" s="59" t="s">
        <v>106</v>
      </c>
    </row>
    <row r="45" ht="56" spans="1:9">
      <c r="A45" s="71">
        <f t="shared" si="0"/>
        <v>44</v>
      </c>
      <c r="B45" s="72">
        <v>109</v>
      </c>
      <c r="C45" s="72" t="s">
        <v>144</v>
      </c>
      <c r="D45" s="71" t="s">
        <v>145</v>
      </c>
      <c r="E45" s="72"/>
      <c r="F45" s="73">
        <v>45999</v>
      </c>
      <c r="G45" s="72" t="s">
        <v>12</v>
      </c>
      <c r="H45" s="67" t="s">
        <v>146</v>
      </c>
      <c r="I45" s="103" t="s">
        <v>147</v>
      </c>
    </row>
    <row r="46" ht="311.25" customHeight="1" spans="1:9">
      <c r="A46" s="71">
        <f t="shared" si="0"/>
        <v>45</v>
      </c>
      <c r="B46" s="90">
        <v>28</v>
      </c>
      <c r="C46" s="90" t="s">
        <v>148</v>
      </c>
      <c r="D46" s="91" t="s">
        <v>149</v>
      </c>
      <c r="E46" s="92"/>
      <c r="F46" s="93">
        <v>46010</v>
      </c>
      <c r="G46" s="90" t="s">
        <v>12</v>
      </c>
      <c r="H46" s="64" t="s">
        <v>150</v>
      </c>
      <c r="I46" s="63"/>
    </row>
    <row r="47" ht="219" customHeight="1" spans="1:9">
      <c r="A47" s="71">
        <f t="shared" si="0"/>
        <v>46</v>
      </c>
      <c r="B47" s="94">
        <v>34</v>
      </c>
      <c r="C47" s="94" t="s">
        <v>9</v>
      </c>
      <c r="D47" s="95" t="s">
        <v>151</v>
      </c>
      <c r="E47" s="92"/>
      <c r="F47" s="93">
        <v>46010</v>
      </c>
      <c r="G47" s="90" t="s">
        <v>12</v>
      </c>
      <c r="H47" s="64" t="s">
        <v>152</v>
      </c>
      <c r="I47" s="63"/>
    </row>
    <row r="48" ht="28" spans="1:9">
      <c r="A48" s="71">
        <f t="shared" si="0"/>
        <v>47</v>
      </c>
      <c r="B48" s="90">
        <v>35</v>
      </c>
      <c r="C48" s="90" t="s">
        <v>153</v>
      </c>
      <c r="D48" s="96" t="s">
        <v>154</v>
      </c>
      <c r="E48" s="92"/>
      <c r="F48" s="93">
        <v>46010</v>
      </c>
      <c r="G48" s="90" t="s">
        <v>12</v>
      </c>
      <c r="H48" s="64" t="s">
        <v>155</v>
      </c>
      <c r="I48" s="63"/>
    </row>
    <row r="49" ht="162" customHeight="1" spans="1:9">
      <c r="A49" s="71">
        <f t="shared" si="0"/>
        <v>48</v>
      </c>
      <c r="B49" s="94">
        <v>36</v>
      </c>
      <c r="C49" s="94" t="s">
        <v>156</v>
      </c>
      <c r="D49" s="91" t="s">
        <v>157</v>
      </c>
      <c r="E49" s="92"/>
      <c r="F49" s="93">
        <v>46010</v>
      </c>
      <c r="G49" s="90" t="s">
        <v>12</v>
      </c>
      <c r="H49" s="64" t="s">
        <v>158</v>
      </c>
      <c r="I49" s="63"/>
    </row>
    <row r="50" ht="150.75" customHeight="1" spans="1:9">
      <c r="A50" s="71">
        <v>49</v>
      </c>
      <c r="B50" s="90" t="s">
        <v>11</v>
      </c>
      <c r="C50" s="90" t="s">
        <v>159</v>
      </c>
      <c r="D50" s="91" t="s">
        <v>160</v>
      </c>
      <c r="E50" s="92"/>
      <c r="F50" s="93">
        <v>46010</v>
      </c>
      <c r="G50" s="90" t="s">
        <v>12</v>
      </c>
      <c r="H50" s="64" t="s">
        <v>161</v>
      </c>
      <c r="I50" s="63"/>
    </row>
    <row r="51" ht="28" spans="1:9">
      <c r="A51" s="67">
        <f t="shared" si="0"/>
        <v>50</v>
      </c>
      <c r="B51" s="90">
        <v>39</v>
      </c>
      <c r="C51" s="90" t="s">
        <v>162</v>
      </c>
      <c r="D51" s="96" t="s">
        <v>163</v>
      </c>
      <c r="E51" s="92"/>
      <c r="F51" s="93">
        <v>46010</v>
      </c>
      <c r="G51" s="90" t="s">
        <v>12</v>
      </c>
      <c r="H51" s="64" t="s">
        <v>164</v>
      </c>
      <c r="I51" s="63"/>
    </row>
    <row r="52" ht="135" customHeight="1" spans="1:9">
      <c r="A52" s="63">
        <v>51</v>
      </c>
      <c r="B52" s="94">
        <v>76</v>
      </c>
      <c r="C52" s="94" t="s">
        <v>165</v>
      </c>
      <c r="D52" s="91" t="s">
        <v>166</v>
      </c>
      <c r="E52" s="92"/>
      <c r="F52" s="93">
        <v>46010</v>
      </c>
      <c r="G52" s="90" t="s">
        <v>12</v>
      </c>
      <c r="H52" s="64" t="s">
        <v>167</v>
      </c>
      <c r="I52" s="63"/>
    </row>
    <row r="53" ht="149.25" customHeight="1" spans="1:9">
      <c r="A53" s="67">
        <v>52</v>
      </c>
      <c r="B53" s="90">
        <v>92</v>
      </c>
      <c r="C53" s="90" t="s">
        <v>168</v>
      </c>
      <c r="D53" s="97" t="s">
        <v>169</v>
      </c>
      <c r="E53" s="92"/>
      <c r="F53" s="93">
        <v>46010</v>
      </c>
      <c r="G53" s="90" t="s">
        <v>12</v>
      </c>
      <c r="H53" s="64" t="s">
        <v>170</v>
      </c>
      <c r="I53" s="63"/>
    </row>
    <row r="54" ht="149.25" customHeight="1" spans="1:9">
      <c r="A54" s="67">
        <v>53</v>
      </c>
      <c r="B54" s="90">
        <v>109</v>
      </c>
      <c r="C54" s="90" t="s">
        <v>171</v>
      </c>
      <c r="D54" s="97" t="s">
        <v>172</v>
      </c>
      <c r="E54" s="92"/>
      <c r="F54" s="93">
        <v>46010</v>
      </c>
      <c r="G54" s="90" t="s">
        <v>12</v>
      </c>
      <c r="H54" s="64" t="s">
        <v>173</v>
      </c>
      <c r="I54" s="63"/>
    </row>
    <row r="55" ht="203.25" customHeight="1" spans="1:9">
      <c r="A55" s="67">
        <v>54</v>
      </c>
      <c r="B55" s="90">
        <v>109</v>
      </c>
      <c r="C55" s="90" t="s">
        <v>174</v>
      </c>
      <c r="D55" s="98" t="s">
        <v>175</v>
      </c>
      <c r="E55" s="92"/>
      <c r="F55" s="93">
        <v>46010</v>
      </c>
      <c r="G55" s="90" t="s">
        <v>12</v>
      </c>
      <c r="H55" s="64" t="s">
        <v>176</v>
      </c>
      <c r="I55" s="63"/>
    </row>
    <row r="56" spans="1:9">
      <c r="A56" s="64" t="str">
        <f t="shared" si="0"/>
        <v/>
      </c>
      <c r="B56" s="92"/>
      <c r="C56" s="92"/>
      <c r="D56" s="64"/>
      <c r="E56" s="92"/>
      <c r="F56" s="99"/>
      <c r="G56" s="92"/>
      <c r="H56" s="64"/>
      <c r="I56" s="63"/>
    </row>
    <row r="57" spans="1:9">
      <c r="A57" s="64" t="str">
        <f t="shared" si="0"/>
        <v/>
      </c>
      <c r="B57" s="92"/>
      <c r="C57" s="92"/>
      <c r="D57" s="64"/>
      <c r="E57" s="92"/>
      <c r="F57" s="99"/>
      <c r="G57" s="92"/>
      <c r="H57" s="64"/>
      <c r="I57" s="63"/>
    </row>
    <row r="58" spans="6:6">
      <c r="F58" s="57"/>
    </row>
    <row r="59" spans="6:6">
      <c r="F59" s="57"/>
    </row>
    <row r="60" spans="6:6">
      <c r="F60" s="57"/>
    </row>
    <row r="61" spans="6:6">
      <c r="F61" s="57"/>
    </row>
    <row r="62" spans="6:6">
      <c r="F62" s="57"/>
    </row>
    <row r="63" spans="6:6">
      <c r="F63" s="57"/>
    </row>
    <row r="64" spans="6:6">
      <c r="F64" s="57"/>
    </row>
    <row r="65" spans="6:6">
      <c r="F65" s="57"/>
    </row>
    <row r="66" spans="6:6">
      <c r="F66" s="57"/>
    </row>
    <row r="67" spans="6:6">
      <c r="F67" s="57"/>
    </row>
    <row r="68" spans="6:6">
      <c r="F68" s="57"/>
    </row>
    <row r="69" spans="6:6">
      <c r="F69" s="57"/>
    </row>
    <row r="70" spans="6:6">
      <c r="F70" s="57"/>
    </row>
    <row r="71" spans="6:6">
      <c r="F71" s="57"/>
    </row>
    <row r="72" spans="6:6">
      <c r="F72" s="57"/>
    </row>
    <row r="73" spans="6:6">
      <c r="F73" s="57"/>
    </row>
    <row r="74" spans="6:6">
      <c r="F74" s="57"/>
    </row>
    <row r="75" spans="6:6">
      <c r="F75" s="57"/>
    </row>
    <row r="76" spans="6:6">
      <c r="F76" s="57"/>
    </row>
    <row r="77" spans="6:6">
      <c r="F77" s="57"/>
    </row>
    <row r="78" spans="6:6">
      <c r="F78" s="57"/>
    </row>
    <row r="79" spans="6:6">
      <c r="F79" s="57"/>
    </row>
    <row r="80" spans="6:6">
      <c r="F80" s="57"/>
    </row>
    <row r="81" spans="6:6">
      <c r="F81" s="57"/>
    </row>
    <row r="82" spans="6:6">
      <c r="F82" s="57"/>
    </row>
    <row r="83" spans="6:6">
      <c r="F83" s="57"/>
    </row>
    <row r="84" spans="6:6">
      <c r="F84" s="57"/>
    </row>
    <row r="85" spans="6:6">
      <c r="F85" s="57"/>
    </row>
  </sheetData>
  <autoFilter xmlns:etc="http://www.wps.cn/officeDocument/2017/etCustomData" ref="I1:I85" etc:filterBottomFollowUsedRange="0">
    <filterColumn colId="0">
      <filters blank="1"/>
    </filterColumn>
    <extLst/>
  </autoFilter>
  <mergeCells count="9">
    <mergeCell ref="A38:A39"/>
    <mergeCell ref="B38:B39"/>
    <mergeCell ref="C38:C39"/>
    <mergeCell ref="D38:D39"/>
    <mergeCell ref="E38:E39"/>
    <mergeCell ref="F38:F39"/>
    <mergeCell ref="G38:G39"/>
    <mergeCell ref="H38:H39"/>
    <mergeCell ref="I38:I39"/>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12" sqref="C12"/>
    </sheetView>
  </sheetViews>
  <sheetFormatPr defaultColWidth="9" defaultRowHeight="14" outlineLevelRow="7" outlineLevelCol="3"/>
  <cols>
    <col min="1" max="1" width="11.775" customWidth="1"/>
    <col min="2" max="2" width="27.775" customWidth="1"/>
    <col min="3" max="3" width="26" customWidth="1"/>
    <col min="4" max="4" width="10.775" customWidth="1"/>
  </cols>
  <sheetData>
    <row r="1" spans="1:4">
      <c r="A1" s="52" t="s">
        <v>177</v>
      </c>
      <c r="B1" s="52" t="s">
        <v>178</v>
      </c>
      <c r="C1" s="52" t="s">
        <v>179</v>
      </c>
      <c r="D1" s="52" t="s">
        <v>180</v>
      </c>
    </row>
    <row r="2" ht="25" spans="1:4">
      <c r="A2" s="53" t="s">
        <v>181</v>
      </c>
      <c r="B2" s="54" t="s">
        <v>182</v>
      </c>
      <c r="C2" s="54" t="s">
        <v>183</v>
      </c>
      <c r="D2" s="53" t="s">
        <v>184</v>
      </c>
    </row>
    <row r="3" ht="25" spans="1:4">
      <c r="A3" s="53" t="s">
        <v>185</v>
      </c>
      <c r="B3" s="54" t="s">
        <v>186</v>
      </c>
      <c r="C3" s="54" t="s">
        <v>187</v>
      </c>
      <c r="D3" s="53" t="s">
        <v>184</v>
      </c>
    </row>
    <row r="4" ht="75" spans="1:4">
      <c r="A4" s="55" t="s">
        <v>188</v>
      </c>
      <c r="B4" s="54" t="s">
        <v>189</v>
      </c>
      <c r="C4" s="54" t="s">
        <v>190</v>
      </c>
      <c r="D4" s="55" t="s">
        <v>184</v>
      </c>
    </row>
    <row r="5" ht="62.5" spans="1:4">
      <c r="A5" s="55" t="s">
        <v>191</v>
      </c>
      <c r="B5" s="54" t="s">
        <v>192</v>
      </c>
      <c r="C5" s="54" t="s">
        <v>193</v>
      </c>
      <c r="D5" s="55" t="s">
        <v>184</v>
      </c>
    </row>
    <row r="8" spans="1:1">
      <c r="A8" s="56"/>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topLeftCell="C14" workbookViewId="0">
      <selection activeCell="C19" sqref="C19"/>
    </sheetView>
  </sheetViews>
  <sheetFormatPr defaultColWidth="9" defaultRowHeight="14"/>
  <cols>
    <col min="2" max="2" width="10.775" customWidth="1"/>
  </cols>
  <sheetData>
    <row r="1" ht="14.75" spans="3:11">
      <c r="C1" s="36" t="s">
        <v>194</v>
      </c>
      <c r="D1" s="36"/>
      <c r="E1" s="36"/>
      <c r="F1" s="36" t="s">
        <v>195</v>
      </c>
      <c r="G1" s="37"/>
      <c r="H1" s="37"/>
      <c r="I1" s="37"/>
      <c r="J1" s="37"/>
      <c r="K1" s="37"/>
    </row>
    <row r="2" ht="14.5" spans="1:12">
      <c r="A2" s="38" t="s">
        <v>196</v>
      </c>
      <c r="B2" s="38" t="s">
        <v>197</v>
      </c>
      <c r="C2" s="39" t="s">
        <v>198</v>
      </c>
      <c r="D2" s="38" t="s">
        <v>199</v>
      </c>
      <c r="E2" s="38" t="s">
        <v>200</v>
      </c>
      <c r="F2" s="39" t="s">
        <v>198</v>
      </c>
      <c r="G2" s="38" t="s">
        <v>201</v>
      </c>
      <c r="H2" s="38" t="s">
        <v>200</v>
      </c>
      <c r="I2" s="38" t="s">
        <v>199</v>
      </c>
      <c r="J2" s="38" t="s">
        <v>201</v>
      </c>
      <c r="K2" s="44" t="s">
        <v>200</v>
      </c>
      <c r="L2" s="45" t="s">
        <v>202</v>
      </c>
    </row>
    <row r="3" ht="73.25" spans="1:12">
      <c r="A3" s="40"/>
      <c r="B3" s="40"/>
      <c r="C3" s="41" t="s">
        <v>203</v>
      </c>
      <c r="D3" s="40"/>
      <c r="E3" s="40"/>
      <c r="F3" s="41" t="s">
        <v>203</v>
      </c>
      <c r="G3" s="40"/>
      <c r="H3" s="40"/>
      <c r="I3" s="40"/>
      <c r="J3" s="40"/>
      <c r="K3" s="46"/>
      <c r="L3" s="47"/>
    </row>
    <row r="4" ht="15.25" spans="1:12">
      <c r="A4" s="17" t="s">
        <v>204</v>
      </c>
      <c r="B4" s="5" t="s">
        <v>205</v>
      </c>
      <c r="C4" s="5" t="s">
        <v>206</v>
      </c>
      <c r="D4" s="5" t="s">
        <v>207</v>
      </c>
      <c r="E4" s="5" t="s">
        <v>208</v>
      </c>
      <c r="F4" s="6">
        <v>2.2274</v>
      </c>
      <c r="G4" s="6">
        <f t="shared" ref="G4:G10" si="0">F4-L4</f>
        <v>0.0273999999999996</v>
      </c>
      <c r="H4" s="6" t="s">
        <v>208</v>
      </c>
      <c r="I4" s="6">
        <v>2.164</v>
      </c>
      <c r="J4" s="6">
        <f t="shared" ref="J4:J10" si="1">L4-I4</f>
        <v>0.036</v>
      </c>
      <c r="K4" s="48" t="s">
        <v>208</v>
      </c>
      <c r="L4" s="49">
        <v>2.2</v>
      </c>
    </row>
    <row r="5" ht="15.25" spans="1:12">
      <c r="A5" s="17" t="s">
        <v>209</v>
      </c>
      <c r="B5" s="5" t="s">
        <v>210</v>
      </c>
      <c r="C5" s="5" t="s">
        <v>211</v>
      </c>
      <c r="D5" s="5" t="s">
        <v>212</v>
      </c>
      <c r="E5" s="5" t="s">
        <v>208</v>
      </c>
      <c r="F5" s="6">
        <v>2.3173</v>
      </c>
      <c r="G5" s="6">
        <f t="shared" si="0"/>
        <v>0.0173000000000001</v>
      </c>
      <c r="H5" s="6" t="s">
        <v>208</v>
      </c>
      <c r="I5" s="6">
        <v>2.2708</v>
      </c>
      <c r="J5" s="6">
        <f t="shared" si="1"/>
        <v>0.0291999999999999</v>
      </c>
      <c r="K5" s="48" t="s">
        <v>208</v>
      </c>
      <c r="L5" s="50">
        <v>2.3</v>
      </c>
    </row>
    <row r="6" ht="15.25" spans="1:12">
      <c r="A6" s="17" t="s">
        <v>213</v>
      </c>
      <c r="B6" s="5" t="s">
        <v>214</v>
      </c>
      <c r="C6" s="5" t="s">
        <v>215</v>
      </c>
      <c r="D6" s="5" t="s">
        <v>216</v>
      </c>
      <c r="E6" s="5" t="s">
        <v>208</v>
      </c>
      <c r="F6" s="6">
        <v>2.4084</v>
      </c>
      <c r="G6" s="6">
        <f t="shared" si="0"/>
        <v>0.00839999999999996</v>
      </c>
      <c r="H6" s="6" t="s">
        <v>208</v>
      </c>
      <c r="I6" s="6">
        <v>2.3587</v>
      </c>
      <c r="J6" s="6">
        <f t="shared" si="1"/>
        <v>0.0413000000000001</v>
      </c>
      <c r="K6" s="48" t="s">
        <v>208</v>
      </c>
      <c r="L6" s="49">
        <v>2.4</v>
      </c>
    </row>
    <row r="7" ht="15.25" spans="1:12">
      <c r="A7" s="104" t="s">
        <v>217</v>
      </c>
      <c r="B7" s="5" t="s">
        <v>218</v>
      </c>
      <c r="C7" s="5" t="s">
        <v>219</v>
      </c>
      <c r="D7" s="5" t="s">
        <v>220</v>
      </c>
      <c r="E7" s="5" t="s">
        <v>208</v>
      </c>
      <c r="F7" s="6">
        <v>2.5027</v>
      </c>
      <c r="G7" s="6">
        <f t="shared" si="0"/>
        <v>0.00269999999999992</v>
      </c>
      <c r="H7" s="6" t="s">
        <v>208</v>
      </c>
      <c r="I7" s="6">
        <v>2.4511</v>
      </c>
      <c r="J7" s="6">
        <f t="shared" si="1"/>
        <v>0.0489000000000002</v>
      </c>
      <c r="K7" s="48" t="s">
        <v>208</v>
      </c>
      <c r="L7" s="50">
        <v>2.5</v>
      </c>
    </row>
    <row r="8" ht="15.25" spans="1:12">
      <c r="A8" s="17" t="s">
        <v>221</v>
      </c>
      <c r="B8" s="5" t="s">
        <v>222</v>
      </c>
      <c r="C8" s="5" t="s">
        <v>223</v>
      </c>
      <c r="D8" s="43" t="s">
        <v>224</v>
      </c>
      <c r="E8" s="43" t="s">
        <v>208</v>
      </c>
      <c r="F8" s="6">
        <v>2.6124</v>
      </c>
      <c r="G8" s="6">
        <f t="shared" si="0"/>
        <v>0.0124</v>
      </c>
      <c r="H8" s="6" t="s">
        <v>208</v>
      </c>
      <c r="I8" s="31">
        <v>2.543</v>
      </c>
      <c r="J8" s="31">
        <f t="shared" si="1"/>
        <v>0.0569999999999999</v>
      </c>
      <c r="K8" s="51" t="s">
        <v>225</v>
      </c>
      <c r="L8" s="49">
        <v>2.6</v>
      </c>
    </row>
    <row r="9" ht="15.25" spans="1:12">
      <c r="A9" s="17" t="s">
        <v>226</v>
      </c>
      <c r="B9" s="5" t="s">
        <v>227</v>
      </c>
      <c r="C9" s="5" t="s">
        <v>228</v>
      </c>
      <c r="D9" s="5" t="s">
        <v>229</v>
      </c>
      <c r="E9" s="5" t="s">
        <v>208</v>
      </c>
      <c r="F9" s="6">
        <v>2.7148</v>
      </c>
      <c r="G9" s="6">
        <f t="shared" si="0"/>
        <v>0.0147999999999997</v>
      </c>
      <c r="H9" s="6" t="s">
        <v>208</v>
      </c>
      <c r="I9" s="31">
        <v>2.6392</v>
      </c>
      <c r="J9" s="31">
        <f t="shared" si="1"/>
        <v>0.0608</v>
      </c>
      <c r="K9" s="51" t="s">
        <v>225</v>
      </c>
      <c r="L9" s="50">
        <v>2.7</v>
      </c>
    </row>
    <row r="10" ht="15.25" spans="1:12">
      <c r="A10" s="17" t="s">
        <v>230</v>
      </c>
      <c r="B10" s="5" t="s">
        <v>231</v>
      </c>
      <c r="C10" s="5" t="s">
        <v>232</v>
      </c>
      <c r="D10" s="5" t="s">
        <v>233</v>
      </c>
      <c r="E10" s="5" t="s">
        <v>208</v>
      </c>
      <c r="F10" s="6">
        <v>2.8062</v>
      </c>
      <c r="G10" s="6">
        <f t="shared" si="0"/>
        <v>0.00620000000000021</v>
      </c>
      <c r="H10" s="6" t="s">
        <v>208</v>
      </c>
      <c r="I10" s="31">
        <v>2.7455</v>
      </c>
      <c r="J10" s="31">
        <f t="shared" si="1"/>
        <v>0.0545</v>
      </c>
      <c r="K10" s="51" t="s">
        <v>234</v>
      </c>
      <c r="L10" s="49">
        <v>2.8</v>
      </c>
    </row>
  </sheetData>
  <mergeCells count="12">
    <mergeCell ref="C1:E1"/>
    <mergeCell ref="F1:K1"/>
    <mergeCell ref="A2:A3"/>
    <mergeCell ref="B2:B3"/>
    <mergeCell ref="D2:D3"/>
    <mergeCell ref="E2:E3"/>
    <mergeCell ref="G2:G3"/>
    <mergeCell ref="H2:H3"/>
    <mergeCell ref="I2:I3"/>
    <mergeCell ref="J2:J3"/>
    <mergeCell ref="K2:K3"/>
    <mergeCell ref="L2:L3"/>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selection activeCell="C3" sqref="C3"/>
    </sheetView>
  </sheetViews>
  <sheetFormatPr defaultColWidth="9" defaultRowHeight="14" outlineLevelCol="4"/>
  <cols>
    <col min="2" max="2" width="10.8833333333333" customWidth="1"/>
  </cols>
  <sheetData>
    <row r="1" spans="1:4">
      <c r="A1" s="29" t="s">
        <v>0</v>
      </c>
      <c r="B1" s="29" t="s">
        <v>235</v>
      </c>
      <c r="C1" s="29" t="s">
        <v>236</v>
      </c>
      <c r="D1" s="29" t="s">
        <v>237</v>
      </c>
    </row>
    <row r="2" spans="1:5">
      <c r="A2" s="32">
        <v>1</v>
      </c>
      <c r="B2" s="33" t="s">
        <v>238</v>
      </c>
      <c r="C2" s="34">
        <v>3</v>
      </c>
      <c r="D2" s="33" t="s">
        <v>239</v>
      </c>
      <c r="E2" s="33" t="s">
        <v>240</v>
      </c>
    </row>
    <row r="3" spans="1:5">
      <c r="A3" s="35"/>
      <c r="B3" s="33" t="s">
        <v>241</v>
      </c>
      <c r="C3" s="34">
        <v>5</v>
      </c>
      <c r="D3" s="33" t="s">
        <v>242</v>
      </c>
      <c r="E3" s="33"/>
    </row>
    <row r="4" spans="1:5">
      <c r="A4" s="32">
        <v>2</v>
      </c>
      <c r="B4" s="33"/>
      <c r="C4" s="34"/>
      <c r="D4" s="33"/>
      <c r="E4" s="33"/>
    </row>
    <row r="5" spans="1:5">
      <c r="A5" s="35"/>
      <c r="B5" s="33"/>
      <c r="C5" s="34"/>
      <c r="D5" s="33"/>
      <c r="E5" s="33"/>
    </row>
    <row r="6" spans="1:5">
      <c r="A6" s="32">
        <v>3</v>
      </c>
      <c r="B6" s="33"/>
      <c r="C6" s="34"/>
      <c r="D6" s="33"/>
      <c r="E6" s="33"/>
    </row>
    <row r="7" spans="1:5">
      <c r="A7" s="35"/>
      <c r="B7" s="33"/>
      <c r="C7" s="34"/>
      <c r="D7" s="33"/>
      <c r="E7" s="33"/>
    </row>
    <row r="8" spans="1:5">
      <c r="A8" s="32">
        <v>4</v>
      </c>
      <c r="B8" s="33"/>
      <c r="C8" s="34"/>
      <c r="D8" s="33"/>
      <c r="E8" s="33"/>
    </row>
    <row r="9" spans="1:5">
      <c r="A9" s="35"/>
      <c r="B9" s="33"/>
      <c r="C9" s="34"/>
      <c r="D9" s="33"/>
      <c r="E9" s="33"/>
    </row>
    <row r="10" spans="1:5">
      <c r="A10" s="32">
        <v>5</v>
      </c>
      <c r="B10" s="33"/>
      <c r="C10" s="34"/>
      <c r="D10" s="33"/>
      <c r="E10" s="33"/>
    </row>
    <row r="11" spans="1:5">
      <c r="A11" s="35"/>
      <c r="B11" s="33"/>
      <c r="C11" s="34"/>
      <c r="D11" s="33"/>
      <c r="E11" s="33"/>
    </row>
    <row r="12" spans="1:5">
      <c r="A12" s="32">
        <v>6</v>
      </c>
      <c r="B12" s="33"/>
      <c r="C12" s="34"/>
      <c r="D12" s="33"/>
      <c r="E12" s="33"/>
    </row>
    <row r="13" spans="1:5">
      <c r="A13" s="35"/>
      <c r="B13" s="33"/>
      <c r="C13" s="34"/>
      <c r="D13" s="33"/>
      <c r="E13" s="33"/>
    </row>
    <row r="14" spans="1:5">
      <c r="A14" s="32">
        <v>7</v>
      </c>
      <c r="B14" s="33"/>
      <c r="C14" s="34"/>
      <c r="D14" s="33"/>
      <c r="E14" s="33"/>
    </row>
    <row r="15" spans="1:5">
      <c r="A15" s="35"/>
      <c r="B15" s="33"/>
      <c r="C15" s="34"/>
      <c r="D15" s="33"/>
      <c r="E15" s="33"/>
    </row>
    <row r="16" spans="1:5">
      <c r="A16" s="32">
        <v>8</v>
      </c>
      <c r="B16" s="33"/>
      <c r="C16" s="34"/>
      <c r="D16" s="33"/>
      <c r="E16" s="33"/>
    </row>
    <row r="17" spans="1:5">
      <c r="A17" s="35"/>
      <c r="B17" s="33"/>
      <c r="C17" s="34"/>
      <c r="D17" s="33"/>
      <c r="E17" s="33"/>
    </row>
    <row r="18" spans="1:5">
      <c r="A18" s="32">
        <v>9</v>
      </c>
      <c r="B18" s="33"/>
      <c r="C18" s="34"/>
      <c r="D18" s="33"/>
      <c r="E18" s="33"/>
    </row>
    <row r="19" spans="1:5">
      <c r="A19" s="35"/>
      <c r="B19" s="33"/>
      <c r="C19" s="34"/>
      <c r="D19" s="33"/>
      <c r="E19" s="33"/>
    </row>
    <row r="20" spans="1:5">
      <c r="A20" s="32">
        <v>10</v>
      </c>
      <c r="B20" s="33"/>
      <c r="C20" s="34"/>
      <c r="D20" s="33"/>
      <c r="E20" s="33"/>
    </row>
    <row r="21" spans="1:5">
      <c r="A21" s="35"/>
      <c r="B21" s="33"/>
      <c r="C21" s="34"/>
      <c r="D21" s="33"/>
      <c r="E21" s="33"/>
    </row>
    <row r="22" spans="1:5">
      <c r="A22" s="32">
        <v>11</v>
      </c>
      <c r="B22" s="33"/>
      <c r="C22" s="34"/>
      <c r="D22" s="33"/>
      <c r="E22" s="33"/>
    </row>
    <row r="23" spans="1:5">
      <c r="A23" s="35"/>
      <c r="B23" s="33"/>
      <c r="C23" s="34"/>
      <c r="D23" s="33"/>
      <c r="E23" s="33"/>
    </row>
    <row r="24" spans="1:5">
      <c r="A24" s="32">
        <v>12</v>
      </c>
      <c r="B24" s="33"/>
      <c r="C24" s="34"/>
      <c r="D24" s="33"/>
      <c r="E24" s="33"/>
    </row>
    <row r="25" spans="1:5">
      <c r="A25" s="35"/>
      <c r="B25" s="33"/>
      <c r="C25" s="34"/>
      <c r="D25" s="33"/>
      <c r="E25" s="33"/>
    </row>
    <row r="26" spans="1:5">
      <c r="A26" s="32">
        <v>13</v>
      </c>
      <c r="B26" s="33"/>
      <c r="C26" s="34"/>
      <c r="D26" s="33"/>
      <c r="E26" s="33"/>
    </row>
    <row r="27" spans="1:5">
      <c r="A27" s="35"/>
      <c r="B27" s="33"/>
      <c r="C27" s="34"/>
      <c r="D27" s="33"/>
      <c r="E27" s="33"/>
    </row>
    <row r="28" spans="1:5">
      <c r="A28" s="32">
        <v>14</v>
      </c>
      <c r="B28" s="33"/>
      <c r="C28" s="34"/>
      <c r="D28" s="33"/>
      <c r="E28" s="33"/>
    </row>
    <row r="29" spans="1:5">
      <c r="A29" s="35"/>
      <c r="B29" s="33"/>
      <c r="C29" s="34"/>
      <c r="D29" s="33"/>
      <c r="E29" s="33"/>
    </row>
    <row r="30" spans="1:5">
      <c r="A30" s="32">
        <v>15</v>
      </c>
      <c r="B30" s="33"/>
      <c r="C30" s="34"/>
      <c r="D30" s="33"/>
      <c r="E30" s="33"/>
    </row>
    <row r="31" spans="1:5">
      <c r="A31" s="35"/>
      <c r="B31" s="33"/>
      <c r="C31" s="34"/>
      <c r="D31" s="33"/>
      <c r="E31" s="33"/>
    </row>
    <row r="32" spans="1:5">
      <c r="A32" s="32">
        <v>16</v>
      </c>
      <c r="B32" s="33"/>
      <c r="C32" s="34"/>
      <c r="D32" s="33"/>
      <c r="E32" s="33"/>
    </row>
    <row r="33" spans="1:5">
      <c r="A33" s="35"/>
      <c r="B33" s="33"/>
      <c r="C33" s="34"/>
      <c r="D33" s="33"/>
      <c r="E33" s="33"/>
    </row>
    <row r="34" spans="1:5">
      <c r="A34" s="32">
        <v>17</v>
      </c>
      <c r="B34" s="33"/>
      <c r="C34" s="34"/>
      <c r="D34" s="33"/>
      <c r="E34" s="33"/>
    </row>
    <row r="35" spans="1:5">
      <c r="A35" s="35"/>
      <c r="B35" s="33"/>
      <c r="C35" s="34"/>
      <c r="D35" s="33"/>
      <c r="E35" s="33"/>
    </row>
    <row r="36" spans="1:5">
      <c r="A36" s="32">
        <v>18</v>
      </c>
      <c r="B36" s="33"/>
      <c r="C36" s="34"/>
      <c r="D36" s="33"/>
      <c r="E36" s="33"/>
    </row>
    <row r="37" spans="1:5">
      <c r="A37" s="35"/>
      <c r="B37" s="33"/>
      <c r="C37" s="34"/>
      <c r="D37" s="33"/>
      <c r="E37" s="33"/>
    </row>
  </sheetData>
  <mergeCells count="3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0"/>
  <sheetViews>
    <sheetView zoomScale="70" zoomScaleNormal="70" topLeftCell="G1" workbookViewId="0">
      <selection activeCell="U45" sqref="U45"/>
    </sheetView>
  </sheetViews>
  <sheetFormatPr defaultColWidth="9" defaultRowHeight="14"/>
  <cols>
    <col min="13" max="13" width="10.775" customWidth="1"/>
    <col min="14" max="14" width="12.1083333333333" customWidth="1"/>
    <col min="15" max="15" width="17.775" customWidth="1"/>
    <col min="21" max="21" width="8.66666666666667" customWidth="1"/>
  </cols>
  <sheetData>
    <row r="1" ht="14.75"/>
    <row r="2" ht="14.5" spans="1:15">
      <c r="A2" s="13" t="s">
        <v>243</v>
      </c>
      <c r="M2" s="14" t="s">
        <v>244</v>
      </c>
      <c r="N2" s="15" t="s">
        <v>203</v>
      </c>
      <c r="O2" s="15" t="s">
        <v>245</v>
      </c>
    </row>
    <row r="3" ht="15.25" spans="13:15">
      <c r="M3" s="16" t="s">
        <v>246</v>
      </c>
      <c r="N3" s="16"/>
      <c r="O3" s="16"/>
    </row>
    <row r="4" ht="29.75" spans="13:15">
      <c r="M4" s="17" t="s">
        <v>247</v>
      </c>
      <c r="N4" s="5" t="s">
        <v>248</v>
      </c>
      <c r="O4" s="5" t="s">
        <v>249</v>
      </c>
    </row>
    <row r="5" ht="29.75" spans="13:15">
      <c r="M5" s="17" t="s">
        <v>250</v>
      </c>
      <c r="N5" s="5" t="s">
        <v>251</v>
      </c>
      <c r="O5" s="5" t="s">
        <v>252</v>
      </c>
    </row>
    <row r="6" ht="29.75" spans="13:15">
      <c r="M6" s="17" t="s">
        <v>253</v>
      </c>
      <c r="N6" s="5" t="s">
        <v>254</v>
      </c>
      <c r="O6" s="5" t="s">
        <v>255</v>
      </c>
    </row>
    <row r="7" ht="29.75" spans="13:15">
      <c r="M7" s="17">
        <v>0</v>
      </c>
      <c r="N7" s="5" t="s">
        <v>256</v>
      </c>
      <c r="O7" s="5" t="s">
        <v>257</v>
      </c>
    </row>
    <row r="8" ht="29.75" spans="13:15">
      <c r="M8" s="17">
        <v>1</v>
      </c>
      <c r="N8" s="5" t="s">
        <v>258</v>
      </c>
      <c r="O8" s="5" t="s">
        <v>258</v>
      </c>
    </row>
    <row r="9" ht="29.75" spans="13:15">
      <c r="M9" s="17">
        <v>2</v>
      </c>
      <c r="N9" s="5" t="s">
        <v>259</v>
      </c>
      <c r="O9" s="5" t="s">
        <v>260</v>
      </c>
    </row>
    <row r="10" ht="29.75" spans="13:15">
      <c r="M10" s="17">
        <v>3</v>
      </c>
      <c r="N10" s="5" t="s">
        <v>261</v>
      </c>
      <c r="O10" s="5" t="s">
        <v>262</v>
      </c>
    </row>
    <row r="11" ht="14.5" spans="1:15">
      <c r="A11" s="13" t="s">
        <v>263</v>
      </c>
      <c r="M11" s="18"/>
      <c r="N11" s="18"/>
      <c r="O11" s="18"/>
    </row>
    <row r="12" ht="14.5" spans="13:17">
      <c r="M12" s="19" t="s">
        <v>244</v>
      </c>
      <c r="N12" s="20" t="s">
        <v>203</v>
      </c>
      <c r="O12" s="20" t="s">
        <v>245</v>
      </c>
      <c r="P12" s="21"/>
      <c r="Q12" s="21"/>
    </row>
    <row r="13" ht="14.5" spans="13:20">
      <c r="M13" s="22" t="s">
        <v>246</v>
      </c>
      <c r="N13" s="22"/>
      <c r="O13" s="22"/>
      <c r="P13" s="23" t="s">
        <v>264</v>
      </c>
      <c r="Q13" s="23" t="s">
        <v>265</v>
      </c>
      <c r="S13" s="29" t="s">
        <v>266</v>
      </c>
      <c r="T13" s="29" t="s">
        <v>267</v>
      </c>
    </row>
    <row r="14" ht="14.5" spans="13:20">
      <c r="M14" s="24">
        <v>-3</v>
      </c>
      <c r="N14" s="25" t="s">
        <v>268</v>
      </c>
      <c r="O14" s="25" t="s">
        <v>268</v>
      </c>
      <c r="P14" s="25">
        <v>2.2</v>
      </c>
      <c r="Q14" s="25">
        <f>P14*0.0184</f>
        <v>0.04048</v>
      </c>
      <c r="S14" s="30">
        <f>P14-Q14</f>
        <v>2.15952</v>
      </c>
      <c r="T14" s="30">
        <f>P14+Q14</f>
        <v>2.24048</v>
      </c>
    </row>
    <row r="15" ht="14.5" spans="13:20">
      <c r="M15" s="24">
        <v>-2</v>
      </c>
      <c r="N15" s="25" t="s">
        <v>269</v>
      </c>
      <c r="O15" s="25" t="s">
        <v>269</v>
      </c>
      <c r="P15" s="25">
        <v>2.3</v>
      </c>
      <c r="Q15" s="25">
        <f t="shared" ref="Q15:Q20" si="0">P15*0.0184</f>
        <v>0.04232</v>
      </c>
      <c r="S15" s="30">
        <f t="shared" ref="S15:S20" si="1">P15-Q15</f>
        <v>2.25768</v>
      </c>
      <c r="T15" s="30">
        <f t="shared" ref="T15:T20" si="2">P15+Q15</f>
        <v>2.34232</v>
      </c>
    </row>
    <row r="16" ht="14.5" spans="13:20">
      <c r="M16" s="24">
        <v>-1</v>
      </c>
      <c r="N16" s="25" t="s">
        <v>270</v>
      </c>
      <c r="O16" s="25" t="s">
        <v>270</v>
      </c>
      <c r="P16" s="25">
        <v>2.4</v>
      </c>
      <c r="Q16" s="25">
        <f t="shared" si="0"/>
        <v>0.04416</v>
      </c>
      <c r="S16" s="30">
        <f t="shared" si="1"/>
        <v>2.35584</v>
      </c>
      <c r="T16" s="30">
        <f t="shared" si="2"/>
        <v>2.44416</v>
      </c>
    </row>
    <row r="17" ht="14.5" spans="13:20">
      <c r="M17" s="24">
        <v>0</v>
      </c>
      <c r="N17" s="25" t="s">
        <v>271</v>
      </c>
      <c r="O17" s="25" t="s">
        <v>271</v>
      </c>
      <c r="P17" s="25">
        <v>2.5</v>
      </c>
      <c r="Q17" s="25">
        <f t="shared" si="0"/>
        <v>0.046</v>
      </c>
      <c r="S17" s="30">
        <f t="shared" si="1"/>
        <v>2.454</v>
      </c>
      <c r="T17" s="30">
        <f t="shared" si="2"/>
        <v>2.546</v>
      </c>
    </row>
    <row r="18" ht="14.5" spans="13:20">
      <c r="M18" s="24">
        <v>1</v>
      </c>
      <c r="N18" s="25" t="s">
        <v>272</v>
      </c>
      <c r="O18" s="25" t="s">
        <v>272</v>
      </c>
      <c r="P18" s="25">
        <v>2.6</v>
      </c>
      <c r="Q18" s="25">
        <f t="shared" si="0"/>
        <v>0.04784</v>
      </c>
      <c r="S18" s="30">
        <f t="shared" si="1"/>
        <v>2.55216</v>
      </c>
      <c r="T18" s="30">
        <f t="shared" si="2"/>
        <v>2.64784</v>
      </c>
    </row>
    <row r="19" ht="14.5" spans="13:20">
      <c r="M19" s="24">
        <v>2</v>
      </c>
      <c r="N19" s="25" t="s">
        <v>273</v>
      </c>
      <c r="O19" s="25" t="s">
        <v>273</v>
      </c>
      <c r="P19" s="25">
        <v>2.7</v>
      </c>
      <c r="Q19" s="25">
        <f t="shared" si="0"/>
        <v>0.04968</v>
      </c>
      <c r="S19" s="30">
        <f t="shared" si="1"/>
        <v>2.65032</v>
      </c>
      <c r="T19" s="30">
        <f t="shared" si="2"/>
        <v>2.74968</v>
      </c>
    </row>
    <row r="20" ht="14.5" spans="13:20">
      <c r="M20" s="24">
        <v>3</v>
      </c>
      <c r="N20" s="25" t="s">
        <v>274</v>
      </c>
      <c r="O20" s="25" t="s">
        <v>274</v>
      </c>
      <c r="P20" s="25">
        <v>2.8</v>
      </c>
      <c r="Q20" s="25">
        <f t="shared" si="0"/>
        <v>0.05152</v>
      </c>
      <c r="S20" s="30">
        <f t="shared" si="1"/>
        <v>2.74848</v>
      </c>
      <c r="T20" s="30">
        <f t="shared" si="2"/>
        <v>2.85152</v>
      </c>
    </row>
    <row r="22" ht="14.75"/>
    <row r="23" ht="87.75" spans="13:19">
      <c r="M23" s="26" t="s">
        <v>196</v>
      </c>
      <c r="N23" s="3" t="s">
        <v>197</v>
      </c>
      <c r="O23" s="3" t="s">
        <v>275</v>
      </c>
      <c r="P23" s="3" t="s">
        <v>276</v>
      </c>
      <c r="Q23" s="3" t="s">
        <v>200</v>
      </c>
      <c r="R23" s="3" t="s">
        <v>199</v>
      </c>
      <c r="S23" s="3" t="s">
        <v>200</v>
      </c>
    </row>
    <row r="24" ht="15.25" spans="13:19">
      <c r="M24" s="17" t="s">
        <v>277</v>
      </c>
      <c r="N24" s="5" t="s">
        <v>278</v>
      </c>
      <c r="O24" s="5" t="s">
        <v>279</v>
      </c>
      <c r="P24" s="5" t="s">
        <v>280</v>
      </c>
      <c r="Q24" s="5" t="s">
        <v>208</v>
      </c>
      <c r="R24" s="5" t="s">
        <v>281</v>
      </c>
      <c r="S24" s="5" t="s">
        <v>208</v>
      </c>
    </row>
    <row r="25" ht="15.25" spans="13:19">
      <c r="M25" s="17" t="s">
        <v>282</v>
      </c>
      <c r="N25" s="5" t="s">
        <v>283</v>
      </c>
      <c r="O25" s="5" t="s">
        <v>284</v>
      </c>
      <c r="P25" s="5" t="s">
        <v>285</v>
      </c>
      <c r="Q25" s="5" t="s">
        <v>208</v>
      </c>
      <c r="R25" s="5" t="s">
        <v>286</v>
      </c>
      <c r="S25" s="5" t="s">
        <v>208</v>
      </c>
    </row>
    <row r="26" ht="15.25" spans="13:19">
      <c r="M26" s="17" t="s">
        <v>287</v>
      </c>
      <c r="N26" s="5" t="s">
        <v>288</v>
      </c>
      <c r="O26" s="5" t="s">
        <v>289</v>
      </c>
      <c r="P26" s="5" t="s">
        <v>290</v>
      </c>
      <c r="Q26" s="5" t="s">
        <v>208</v>
      </c>
      <c r="R26" s="5" t="s">
        <v>291</v>
      </c>
      <c r="S26" s="5" t="s">
        <v>208</v>
      </c>
    </row>
    <row r="27" ht="15.25" spans="13:19">
      <c r="M27" s="17">
        <v>0</v>
      </c>
      <c r="N27" s="5" t="s">
        <v>292</v>
      </c>
      <c r="O27" s="5" t="s">
        <v>293</v>
      </c>
      <c r="P27" s="5" t="s">
        <v>294</v>
      </c>
      <c r="Q27" s="5" t="s">
        <v>208</v>
      </c>
      <c r="R27" s="5" t="s">
        <v>295</v>
      </c>
      <c r="S27" s="5" t="s">
        <v>208</v>
      </c>
    </row>
    <row r="28" ht="15.25" spans="13:19">
      <c r="M28" s="17" t="s">
        <v>296</v>
      </c>
      <c r="N28" s="5" t="s">
        <v>297</v>
      </c>
      <c r="O28" s="5" t="s">
        <v>298</v>
      </c>
      <c r="P28" s="5" t="s">
        <v>299</v>
      </c>
      <c r="Q28" s="5" t="s">
        <v>208</v>
      </c>
      <c r="R28" s="5" t="s">
        <v>300</v>
      </c>
      <c r="S28" s="5" t="s">
        <v>208</v>
      </c>
    </row>
    <row r="29" ht="15.25" spans="13:19">
      <c r="M29" s="17" t="s">
        <v>301</v>
      </c>
      <c r="N29" s="5" t="s">
        <v>302</v>
      </c>
      <c r="O29" s="5" t="s">
        <v>303</v>
      </c>
      <c r="P29" s="5" t="s">
        <v>304</v>
      </c>
      <c r="Q29" s="5" t="s">
        <v>208</v>
      </c>
      <c r="R29" s="5" t="s">
        <v>305</v>
      </c>
      <c r="S29" s="5" t="s">
        <v>208</v>
      </c>
    </row>
    <row r="30" ht="15.25" spans="13:19">
      <c r="M30" s="17" t="s">
        <v>306</v>
      </c>
      <c r="N30" s="5" t="s">
        <v>307</v>
      </c>
      <c r="O30" s="8" t="s">
        <v>308</v>
      </c>
      <c r="P30" s="5" t="s">
        <v>309</v>
      </c>
      <c r="Q30" s="5" t="s">
        <v>208</v>
      </c>
      <c r="R30" s="5" t="s">
        <v>310</v>
      </c>
      <c r="S30" s="5" t="s">
        <v>208</v>
      </c>
    </row>
    <row r="32" ht="14.75"/>
    <row r="33" ht="87.75" spans="13:22">
      <c r="M33" s="26" t="s">
        <v>196</v>
      </c>
      <c r="N33" s="3" t="s">
        <v>197</v>
      </c>
      <c r="O33" s="3" t="s">
        <v>275</v>
      </c>
      <c r="P33" s="3" t="s">
        <v>276</v>
      </c>
      <c r="Q33" s="3" t="s">
        <v>200</v>
      </c>
      <c r="R33" s="3" t="s">
        <v>199</v>
      </c>
      <c r="S33" s="3" t="s">
        <v>200</v>
      </c>
      <c r="T33" s="3" t="s">
        <v>276</v>
      </c>
      <c r="V33" s="3" t="s">
        <v>199</v>
      </c>
    </row>
    <row r="34" ht="15.25" spans="13:23">
      <c r="M34" s="17" t="s">
        <v>277</v>
      </c>
      <c r="N34" s="5" t="s">
        <v>278</v>
      </c>
      <c r="O34" s="5" t="s">
        <v>279</v>
      </c>
      <c r="P34" s="5" t="s">
        <v>280</v>
      </c>
      <c r="Q34" s="5" t="s">
        <v>208</v>
      </c>
      <c r="R34" s="5" t="s">
        <v>281</v>
      </c>
      <c r="S34" s="5" t="s">
        <v>208</v>
      </c>
      <c r="T34">
        <v>2.227</v>
      </c>
      <c r="U34" t="str">
        <f>IF(AND(T34&lt;S14,T34&gt;T14),"FAIL","PASS")</f>
        <v>PASS</v>
      </c>
      <c r="V34">
        <v>2.164</v>
      </c>
      <c r="W34" t="str">
        <f>IF(AND(V34&lt;S14,V34&gt;T14),"FAIL","PASS")</f>
        <v>PASS</v>
      </c>
    </row>
    <row r="35" ht="15.25" spans="13:23">
      <c r="M35" s="17" t="s">
        <v>282</v>
      </c>
      <c r="N35" s="5" t="s">
        <v>283</v>
      </c>
      <c r="O35" s="5" t="s">
        <v>284</v>
      </c>
      <c r="P35" s="5" t="s">
        <v>285</v>
      </c>
      <c r="Q35" s="5" t="s">
        <v>208</v>
      </c>
      <c r="R35" s="5" t="s">
        <v>286</v>
      </c>
      <c r="S35" s="5" t="s">
        <v>208</v>
      </c>
      <c r="T35">
        <v>2.317</v>
      </c>
      <c r="U35" t="str">
        <f t="shared" ref="U35:U40" si="3">IF(AND(T35&lt;S15,T35&gt;T15),"FAIL","PASS")</f>
        <v>PASS</v>
      </c>
      <c r="V35">
        <v>2.27</v>
      </c>
      <c r="W35" t="str">
        <f t="shared" ref="W35:W40" si="4">IF(AND(V35&lt;S15,V35&gt;T15),"FAIL","PASS")</f>
        <v>PASS</v>
      </c>
    </row>
    <row r="36" ht="15.25" spans="13:23">
      <c r="M36" s="17" t="s">
        <v>287</v>
      </c>
      <c r="N36" s="5" t="s">
        <v>288</v>
      </c>
      <c r="O36" s="5" t="s">
        <v>289</v>
      </c>
      <c r="P36" s="5" t="s">
        <v>290</v>
      </c>
      <c r="Q36" s="5" t="s">
        <v>208</v>
      </c>
      <c r="R36" s="5" t="s">
        <v>291</v>
      </c>
      <c r="S36" s="5" t="s">
        <v>208</v>
      </c>
      <c r="T36">
        <v>2.408</v>
      </c>
      <c r="U36" t="str">
        <f t="shared" si="3"/>
        <v>PASS</v>
      </c>
      <c r="V36">
        <v>2.359</v>
      </c>
      <c r="W36" t="str">
        <f t="shared" si="4"/>
        <v>PASS</v>
      </c>
    </row>
    <row r="37" ht="15.25" spans="13:23">
      <c r="M37" s="17">
        <v>0</v>
      </c>
      <c r="N37" s="5" t="s">
        <v>292</v>
      </c>
      <c r="O37" s="5" t="s">
        <v>293</v>
      </c>
      <c r="P37" s="5" t="s">
        <v>294</v>
      </c>
      <c r="Q37" s="5" t="s">
        <v>208</v>
      </c>
      <c r="R37" s="5" t="s">
        <v>295</v>
      </c>
      <c r="S37" s="5" t="s">
        <v>208</v>
      </c>
      <c r="T37">
        <v>2.503</v>
      </c>
      <c r="U37" t="str">
        <f t="shared" si="3"/>
        <v>PASS</v>
      </c>
      <c r="V37">
        <v>2.462</v>
      </c>
      <c r="W37" t="str">
        <f t="shared" si="4"/>
        <v>PASS</v>
      </c>
    </row>
    <row r="38" ht="15.25" spans="13:23">
      <c r="M38" s="17" t="s">
        <v>296</v>
      </c>
      <c r="N38" s="5" t="s">
        <v>297</v>
      </c>
      <c r="O38" s="5" t="s">
        <v>298</v>
      </c>
      <c r="P38" s="5" t="s">
        <v>299</v>
      </c>
      <c r="Q38" s="5" t="s">
        <v>208</v>
      </c>
      <c r="R38" s="5" t="s">
        <v>300</v>
      </c>
      <c r="S38" s="5" t="s">
        <v>208</v>
      </c>
      <c r="T38">
        <v>2.612</v>
      </c>
      <c r="U38" t="str">
        <f t="shared" si="3"/>
        <v>PASS</v>
      </c>
      <c r="V38">
        <v>2.553</v>
      </c>
      <c r="W38" t="str">
        <f t="shared" si="4"/>
        <v>PASS</v>
      </c>
    </row>
    <row r="39" ht="15.25" spans="13:23">
      <c r="M39" s="17" t="s">
        <v>301</v>
      </c>
      <c r="N39" s="5" t="s">
        <v>302</v>
      </c>
      <c r="O39" s="5" t="s">
        <v>303</v>
      </c>
      <c r="P39" s="5" t="s">
        <v>304</v>
      </c>
      <c r="Q39" s="5" t="s">
        <v>208</v>
      </c>
      <c r="R39" s="5" t="s">
        <v>305</v>
      </c>
      <c r="S39" s="5" t="s">
        <v>208</v>
      </c>
      <c r="T39">
        <v>2.715</v>
      </c>
      <c r="U39" t="str">
        <f t="shared" si="3"/>
        <v>PASS</v>
      </c>
      <c r="V39">
        <v>2.659</v>
      </c>
      <c r="W39" t="str">
        <f t="shared" si="4"/>
        <v>PASS</v>
      </c>
    </row>
    <row r="40" ht="15.25" spans="13:23">
      <c r="M40" s="17" t="s">
        <v>306</v>
      </c>
      <c r="N40" s="5" t="s">
        <v>307</v>
      </c>
      <c r="O40" s="8" t="s">
        <v>308</v>
      </c>
      <c r="P40" s="5" t="s">
        <v>309</v>
      </c>
      <c r="Q40" s="5" t="s">
        <v>208</v>
      </c>
      <c r="R40" s="5" t="s">
        <v>310</v>
      </c>
      <c r="S40" s="5" t="s">
        <v>208</v>
      </c>
      <c r="T40">
        <v>2.806</v>
      </c>
      <c r="U40" t="str">
        <f t="shared" si="3"/>
        <v>PASS</v>
      </c>
      <c r="V40">
        <v>2.76</v>
      </c>
      <c r="W40" t="str">
        <f t="shared" si="4"/>
        <v>PASS</v>
      </c>
    </row>
    <row r="42" ht="15.25" spans="13:13">
      <c r="M42" s="27" t="s">
        <v>311</v>
      </c>
    </row>
    <row r="43" ht="87.75" spans="13:25">
      <c r="M43" s="26" t="s">
        <v>196</v>
      </c>
      <c r="N43" s="3" t="s">
        <v>312</v>
      </c>
      <c r="O43" s="3" t="s">
        <v>275</v>
      </c>
      <c r="P43" s="3" t="s">
        <v>276</v>
      </c>
      <c r="Q43" s="3" t="s">
        <v>313</v>
      </c>
      <c r="R43" s="3" t="s">
        <v>311</v>
      </c>
      <c r="S43" s="3" t="s">
        <v>314</v>
      </c>
      <c r="T43" s="3" t="s">
        <v>315</v>
      </c>
      <c r="U43" s="3" t="s">
        <v>199</v>
      </c>
      <c r="V43" s="3" t="s">
        <v>313</v>
      </c>
      <c r="W43" s="3" t="s">
        <v>311</v>
      </c>
      <c r="X43" s="3" t="s">
        <v>314</v>
      </c>
      <c r="Y43" s="3" t="s">
        <v>315</v>
      </c>
    </row>
    <row r="44" ht="15.25" spans="13:25">
      <c r="M44" s="17" t="s">
        <v>277</v>
      </c>
      <c r="N44" s="5" t="s">
        <v>278</v>
      </c>
      <c r="O44" s="5" t="s">
        <v>279</v>
      </c>
      <c r="P44" s="6">
        <v>2.2274</v>
      </c>
      <c r="Q44" s="31">
        <v>2.227</v>
      </c>
      <c r="R44" s="31">
        <f t="shared" ref="R44:R50" si="5">ROUND(P44,3)</f>
        <v>2.227</v>
      </c>
      <c r="S44" s="6">
        <f t="shared" ref="S44:S50" si="6">ROUNDUP(P44,3)</f>
        <v>2.228</v>
      </c>
      <c r="T44" s="31">
        <f t="shared" ref="T44:T50" si="7">ROUNDDOWN(P44,3)</f>
        <v>2.227</v>
      </c>
      <c r="U44" s="6">
        <v>2.164</v>
      </c>
      <c r="V44" s="31">
        <v>2.164</v>
      </c>
      <c r="W44" s="31">
        <f>ROUND(U44,3)</f>
        <v>2.164</v>
      </c>
      <c r="X44" s="31">
        <f>ROUNDUP(U44,3)</f>
        <v>2.164</v>
      </c>
      <c r="Y44" s="31">
        <f>ROUNDDOWN(U44,3)</f>
        <v>2.164</v>
      </c>
    </row>
    <row r="45" ht="15.25" spans="13:25">
      <c r="M45" s="17" t="s">
        <v>282</v>
      </c>
      <c r="N45" s="5" t="s">
        <v>283</v>
      </c>
      <c r="O45" s="5" t="s">
        <v>284</v>
      </c>
      <c r="P45" s="6">
        <v>2.3173</v>
      </c>
      <c r="Q45" s="31">
        <v>2.317</v>
      </c>
      <c r="R45" s="31">
        <f t="shared" si="5"/>
        <v>2.317</v>
      </c>
      <c r="S45" s="6">
        <f t="shared" si="6"/>
        <v>2.318</v>
      </c>
      <c r="T45" s="31">
        <f t="shared" si="7"/>
        <v>2.317</v>
      </c>
      <c r="U45" s="6">
        <v>2.2708</v>
      </c>
      <c r="V45" s="31">
        <v>2.27</v>
      </c>
      <c r="W45" s="6">
        <f t="shared" ref="W45:W50" si="8">ROUND(U45,3)</f>
        <v>2.271</v>
      </c>
      <c r="X45" s="6">
        <f t="shared" ref="X45:X50" si="9">ROUNDUP(U45,3)</f>
        <v>2.271</v>
      </c>
      <c r="Y45" s="31">
        <f t="shared" ref="Y45:Y50" si="10">ROUNDDOWN(U45,3)</f>
        <v>2.27</v>
      </c>
    </row>
    <row r="46" ht="15.25" spans="13:25">
      <c r="M46" s="17" t="s">
        <v>287</v>
      </c>
      <c r="N46" s="5" t="s">
        <v>288</v>
      </c>
      <c r="O46" s="5" t="s">
        <v>289</v>
      </c>
      <c r="P46" s="6">
        <v>2.4084</v>
      </c>
      <c r="Q46" s="31">
        <v>2.408</v>
      </c>
      <c r="R46" s="31">
        <f t="shared" si="5"/>
        <v>2.408</v>
      </c>
      <c r="S46" s="6">
        <f t="shared" si="6"/>
        <v>2.409</v>
      </c>
      <c r="T46" s="31">
        <f t="shared" si="7"/>
        <v>2.408</v>
      </c>
      <c r="U46" s="6">
        <v>2.3587</v>
      </c>
      <c r="V46" s="31">
        <v>2.359</v>
      </c>
      <c r="W46" s="31">
        <f t="shared" si="8"/>
        <v>2.359</v>
      </c>
      <c r="X46" s="31">
        <f t="shared" si="9"/>
        <v>2.359</v>
      </c>
      <c r="Y46" s="6">
        <f t="shared" si="10"/>
        <v>2.358</v>
      </c>
    </row>
    <row r="47" ht="15.25" spans="13:25">
      <c r="M47" s="28" t="s">
        <v>316</v>
      </c>
      <c r="N47" s="5" t="s">
        <v>292</v>
      </c>
      <c r="O47" s="5" t="s">
        <v>293</v>
      </c>
      <c r="P47" s="6">
        <v>2.5027</v>
      </c>
      <c r="Q47" s="31">
        <v>2.503</v>
      </c>
      <c r="R47" s="31">
        <f t="shared" si="5"/>
        <v>2.503</v>
      </c>
      <c r="S47" s="31">
        <f t="shared" si="6"/>
        <v>2.503</v>
      </c>
      <c r="T47" s="6">
        <f t="shared" si="7"/>
        <v>2.502</v>
      </c>
      <c r="U47" s="6">
        <v>2.4615</v>
      </c>
      <c r="V47" s="31">
        <v>2.462</v>
      </c>
      <c r="W47" s="31">
        <f t="shared" si="8"/>
        <v>2.462</v>
      </c>
      <c r="X47" s="31">
        <f t="shared" si="9"/>
        <v>2.462</v>
      </c>
      <c r="Y47" s="6">
        <f t="shared" si="10"/>
        <v>2.461</v>
      </c>
    </row>
    <row r="48" ht="15.25" spans="13:25">
      <c r="M48" s="17" t="s">
        <v>296</v>
      </c>
      <c r="N48" s="5" t="s">
        <v>297</v>
      </c>
      <c r="O48" s="5" t="s">
        <v>298</v>
      </c>
      <c r="P48" s="6">
        <v>2.6124</v>
      </c>
      <c r="Q48" s="31">
        <v>2.612</v>
      </c>
      <c r="R48" s="31">
        <f t="shared" si="5"/>
        <v>2.612</v>
      </c>
      <c r="S48" s="6">
        <f t="shared" si="6"/>
        <v>2.613</v>
      </c>
      <c r="T48" s="31">
        <f t="shared" si="7"/>
        <v>2.612</v>
      </c>
      <c r="U48" s="6">
        <v>2.5534</v>
      </c>
      <c r="V48" s="31">
        <v>2.553</v>
      </c>
      <c r="W48" s="31">
        <f t="shared" si="8"/>
        <v>2.553</v>
      </c>
      <c r="X48" s="6">
        <f t="shared" si="9"/>
        <v>2.554</v>
      </c>
      <c r="Y48" s="31">
        <f t="shared" si="10"/>
        <v>2.553</v>
      </c>
    </row>
    <row r="49" ht="15.25" spans="13:25">
      <c r="M49" s="17" t="s">
        <v>301</v>
      </c>
      <c r="N49" s="5" t="s">
        <v>302</v>
      </c>
      <c r="O49" s="5" t="s">
        <v>303</v>
      </c>
      <c r="P49" s="6">
        <v>2.7148</v>
      </c>
      <c r="Q49" s="31">
        <v>2.715</v>
      </c>
      <c r="R49" s="31">
        <f t="shared" si="5"/>
        <v>2.715</v>
      </c>
      <c r="S49" s="31">
        <f t="shared" si="6"/>
        <v>2.715</v>
      </c>
      <c r="T49" s="6">
        <f t="shared" si="7"/>
        <v>2.714</v>
      </c>
      <c r="U49" s="6">
        <v>2.6589</v>
      </c>
      <c r="V49" s="31">
        <v>2.659</v>
      </c>
      <c r="W49" s="31">
        <f t="shared" si="8"/>
        <v>2.659</v>
      </c>
      <c r="X49" s="31">
        <f t="shared" si="9"/>
        <v>2.659</v>
      </c>
      <c r="Y49" s="6">
        <f t="shared" si="10"/>
        <v>2.658</v>
      </c>
    </row>
    <row r="50" ht="15.25" spans="13:25">
      <c r="M50" s="17" t="s">
        <v>306</v>
      </c>
      <c r="N50" s="5" t="s">
        <v>307</v>
      </c>
      <c r="O50" s="8" t="s">
        <v>308</v>
      </c>
      <c r="P50" s="6">
        <v>2.8062</v>
      </c>
      <c r="Q50" s="31">
        <v>2.806</v>
      </c>
      <c r="R50" s="31">
        <f t="shared" si="5"/>
        <v>2.806</v>
      </c>
      <c r="S50" s="6">
        <f t="shared" si="6"/>
        <v>2.807</v>
      </c>
      <c r="T50" s="31">
        <f t="shared" si="7"/>
        <v>2.806</v>
      </c>
      <c r="U50" s="6">
        <v>2.7605</v>
      </c>
      <c r="V50" s="31">
        <v>2.76</v>
      </c>
      <c r="W50" s="6">
        <f t="shared" si="8"/>
        <v>2.761</v>
      </c>
      <c r="X50" s="6">
        <f t="shared" si="9"/>
        <v>2.761</v>
      </c>
      <c r="Y50" s="31">
        <f t="shared" si="10"/>
        <v>2.76</v>
      </c>
    </row>
  </sheetData>
  <mergeCells count="4">
    <mergeCell ref="N2:N3"/>
    <mergeCell ref="N12:N13"/>
    <mergeCell ref="O2:O3"/>
    <mergeCell ref="O12:O13"/>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J44"/>
  <sheetViews>
    <sheetView zoomScale="85" zoomScaleNormal="85" topLeftCell="A17" workbookViewId="0">
      <selection activeCell="L32" sqref="L32"/>
    </sheetView>
  </sheetViews>
  <sheetFormatPr defaultColWidth="8.66666666666667" defaultRowHeight="14"/>
  <cols>
    <col min="3" max="3" width="8.66666666666667" style="1"/>
    <col min="5" max="5" width="15.3333333333333" customWidth="1"/>
    <col min="7" max="7" width="13.4166666666667" style="1" customWidth="1"/>
    <col min="8" max="8" width="26.0833333333333" style="1" customWidth="1"/>
    <col min="10" max="10" width="9.41666666666667"/>
  </cols>
  <sheetData>
    <row r="4" ht="14.75"/>
    <row r="5" ht="87.75" spans="3:6">
      <c r="C5" s="2" t="s">
        <v>196</v>
      </c>
      <c r="D5" s="3" t="s">
        <v>312</v>
      </c>
      <c r="E5" s="3" t="s">
        <v>275</v>
      </c>
      <c r="F5" s="3" t="s">
        <v>276</v>
      </c>
    </row>
    <row r="6" ht="15.25" spans="3:7">
      <c r="C6" s="4" t="s">
        <v>277</v>
      </c>
      <c r="D6" s="5" t="s">
        <v>278</v>
      </c>
      <c r="E6" s="5" t="s">
        <v>279</v>
      </c>
      <c r="F6" s="6">
        <v>2.2274</v>
      </c>
      <c r="G6" s="1">
        <f>2.2-2.16</f>
        <v>0.04</v>
      </c>
    </row>
    <row r="7" ht="84.75" spans="3:8">
      <c r="C7" s="4" t="s">
        <v>282</v>
      </c>
      <c r="D7" s="5" t="s">
        <v>283</v>
      </c>
      <c r="E7" s="5" t="s">
        <v>284</v>
      </c>
      <c r="F7" s="6">
        <v>2.3173</v>
      </c>
      <c r="H7" s="7" t="s">
        <v>317</v>
      </c>
    </row>
    <row r="8" ht="29.75" spans="3:6">
      <c r="C8" s="4" t="s">
        <v>287</v>
      </c>
      <c r="D8" s="5" t="s">
        <v>288</v>
      </c>
      <c r="E8" s="5" t="s">
        <v>289</v>
      </c>
      <c r="F8" s="6">
        <v>2.4084</v>
      </c>
    </row>
    <row r="9" ht="29.75" spans="3:10">
      <c r="C9" s="4" t="s">
        <v>316</v>
      </c>
      <c r="D9" s="5" t="s">
        <v>292</v>
      </c>
      <c r="E9" s="5" t="s">
        <v>293</v>
      </c>
      <c r="F9" s="6">
        <v>2.5027</v>
      </c>
      <c r="H9" s="1">
        <v>2.15</v>
      </c>
      <c r="J9">
        <f>2.15*0.0175</f>
        <v>0.037625</v>
      </c>
    </row>
    <row r="10" ht="29.75" spans="3:10">
      <c r="C10" s="4" t="s">
        <v>296</v>
      </c>
      <c r="D10" s="5" t="s">
        <v>297</v>
      </c>
      <c r="E10" s="5" t="s">
        <v>298</v>
      </c>
      <c r="F10" s="6">
        <v>2.6124</v>
      </c>
      <c r="H10" s="1">
        <v>2.33</v>
      </c>
      <c r="J10">
        <f>H9-J9</f>
        <v>2.112375</v>
      </c>
    </row>
    <row r="11" ht="29.75" spans="3:10">
      <c r="C11" s="4" t="s">
        <v>301</v>
      </c>
      <c r="D11" s="5" t="s">
        <v>302</v>
      </c>
      <c r="E11" s="5" t="s">
        <v>303</v>
      </c>
      <c r="F11" s="6">
        <v>2.7148</v>
      </c>
      <c r="J11">
        <f>H10*0.0174</f>
        <v>0.040542</v>
      </c>
    </row>
    <row r="12" ht="29.75" spans="3:6">
      <c r="C12" s="4" t="s">
        <v>306</v>
      </c>
      <c r="D12" s="5" t="s">
        <v>307</v>
      </c>
      <c r="E12" s="8" t="s">
        <v>308</v>
      </c>
      <c r="F12" s="6">
        <v>2.8062</v>
      </c>
    </row>
    <row r="14" spans="8:8">
      <c r="H14" s="1">
        <f>12*0.125</f>
        <v>1.5</v>
      </c>
    </row>
    <row r="24" spans="5:5">
      <c r="E24">
        <v>1.84</v>
      </c>
    </row>
    <row r="26" ht="14.75"/>
    <row r="27" ht="15.25" spans="3:8">
      <c r="C27" s="9">
        <v>2.2</v>
      </c>
      <c r="D27">
        <f>$E$24/100</f>
        <v>0.0184</v>
      </c>
      <c r="E27">
        <f>C27*D27</f>
        <v>0.04048</v>
      </c>
      <c r="G27" s="1">
        <f>C27-E27</f>
        <v>2.15952</v>
      </c>
      <c r="H27" s="1">
        <f>C27+E27</f>
        <v>2.24048</v>
      </c>
    </row>
    <row r="28" ht="15.25" spans="3:8">
      <c r="C28" s="10">
        <v>2.3</v>
      </c>
      <c r="D28">
        <f t="shared" ref="D28:D33" si="0">$E$24/100</f>
        <v>0.0184</v>
      </c>
      <c r="E28" s="1">
        <f>C28*D28</f>
        <v>0.04232</v>
      </c>
      <c r="G28" s="1">
        <f t="shared" ref="G28:G33" si="1">C28-E28</f>
        <v>2.25768</v>
      </c>
      <c r="H28" s="1">
        <f t="shared" ref="H28:H33" si="2">C28+E28</f>
        <v>2.34232</v>
      </c>
    </row>
    <row r="29" ht="15.25" spans="3:8">
      <c r="C29" s="10">
        <v>2.4</v>
      </c>
      <c r="D29">
        <f t="shared" si="0"/>
        <v>0.0184</v>
      </c>
      <c r="E29">
        <f t="shared" ref="E28:E33" si="3">C29*D29</f>
        <v>0.04416</v>
      </c>
      <c r="G29" s="1">
        <f t="shared" si="1"/>
        <v>2.35584</v>
      </c>
      <c r="H29" s="1">
        <f t="shared" si="2"/>
        <v>2.44416</v>
      </c>
    </row>
    <row r="30" ht="15.25" spans="3:8">
      <c r="C30" s="10">
        <v>2.5</v>
      </c>
      <c r="D30">
        <f t="shared" si="0"/>
        <v>0.0184</v>
      </c>
      <c r="E30">
        <f t="shared" si="3"/>
        <v>0.046</v>
      </c>
      <c r="G30" s="1">
        <f t="shared" si="1"/>
        <v>2.454</v>
      </c>
      <c r="H30" s="1">
        <f t="shared" si="2"/>
        <v>2.546</v>
      </c>
    </row>
    <row r="31" ht="15.25" spans="3:8">
      <c r="C31" s="10">
        <v>2.6</v>
      </c>
      <c r="D31">
        <f t="shared" si="0"/>
        <v>0.0184</v>
      </c>
      <c r="E31">
        <f t="shared" si="3"/>
        <v>0.04784</v>
      </c>
      <c r="G31" s="1">
        <f t="shared" si="1"/>
        <v>2.55216</v>
      </c>
      <c r="H31" s="1">
        <f t="shared" si="2"/>
        <v>2.64784</v>
      </c>
    </row>
    <row r="32" ht="15.25" spans="3:8">
      <c r="C32" s="10">
        <v>2.7</v>
      </c>
      <c r="D32">
        <f t="shared" si="0"/>
        <v>0.0184</v>
      </c>
      <c r="E32">
        <f t="shared" si="3"/>
        <v>0.04968</v>
      </c>
      <c r="G32" s="1">
        <f t="shared" si="1"/>
        <v>2.65032</v>
      </c>
      <c r="H32" s="1">
        <f t="shared" si="2"/>
        <v>2.74968</v>
      </c>
    </row>
    <row r="33" ht="15.25" spans="3:8">
      <c r="C33" s="10">
        <v>2.8</v>
      </c>
      <c r="D33">
        <f t="shared" si="0"/>
        <v>0.0184</v>
      </c>
      <c r="E33">
        <f t="shared" si="3"/>
        <v>0.05152</v>
      </c>
      <c r="G33" s="1">
        <f t="shared" si="1"/>
        <v>2.74848</v>
      </c>
      <c r="H33" s="1">
        <f t="shared" si="2"/>
        <v>2.85152</v>
      </c>
    </row>
    <row r="38" spans="5:5">
      <c r="E38">
        <v>1.74</v>
      </c>
    </row>
    <row r="39" ht="14.75"/>
    <row r="40" ht="15.25" spans="3:8">
      <c r="C40" s="11">
        <v>2.15</v>
      </c>
      <c r="D40">
        <f>$E$38/100</f>
        <v>0.0174</v>
      </c>
      <c r="E40">
        <f>C40*D40</f>
        <v>0.03741</v>
      </c>
      <c r="G40" s="1">
        <f>C40-E40</f>
        <v>2.11259</v>
      </c>
      <c r="H40" s="1">
        <f>C40+E40</f>
        <v>2.18741</v>
      </c>
    </row>
    <row r="41" ht="15.25" spans="3:8">
      <c r="C41" s="12">
        <v>2.33</v>
      </c>
      <c r="D41">
        <f>$E$38/100</f>
        <v>0.0174</v>
      </c>
      <c r="E41">
        <f>C41*D41</f>
        <v>0.040542</v>
      </c>
      <c r="G41" s="1">
        <f>C41-E41</f>
        <v>2.289458</v>
      </c>
      <c r="H41" s="1">
        <f>C41+E41</f>
        <v>2.370542</v>
      </c>
    </row>
    <row r="42" ht="15.25" spans="3:8">
      <c r="C42" s="12">
        <v>2.5</v>
      </c>
      <c r="D42">
        <f>$E$38/100</f>
        <v>0.0174</v>
      </c>
      <c r="E42">
        <f>C42*D42</f>
        <v>0.0435</v>
      </c>
      <c r="G42" s="1">
        <f>C42-E42</f>
        <v>2.4565</v>
      </c>
      <c r="H42" s="1">
        <f>C42+E42</f>
        <v>2.5435</v>
      </c>
    </row>
    <row r="43" ht="15.25" spans="3:8">
      <c r="C43" s="12">
        <v>2.69</v>
      </c>
      <c r="D43">
        <f>$E$38/100</f>
        <v>0.0174</v>
      </c>
      <c r="E43">
        <f>C43*D43</f>
        <v>0.046806</v>
      </c>
      <c r="G43" s="1">
        <f>C43-E43</f>
        <v>2.643194</v>
      </c>
      <c r="H43" s="1">
        <f>C43+E43</f>
        <v>2.736806</v>
      </c>
    </row>
    <row r="44" ht="15.25" spans="3:8">
      <c r="C44" s="12">
        <v>2.86</v>
      </c>
      <c r="D44">
        <f>$E$38/100</f>
        <v>0.0174</v>
      </c>
      <c r="E44">
        <f>C44*D44</f>
        <v>0.049764</v>
      </c>
      <c r="G44" s="1">
        <f>C44-E44</f>
        <v>2.810236</v>
      </c>
      <c r="H44" s="1">
        <f>C44+E44</f>
        <v>2.909764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ACA011-8136-4025-B5C0-92B51BD80A41}">
  <ds:schemaRefs/>
</ds:datastoreItem>
</file>

<file path=customXml/itemProps2.xml><?xml version="1.0" encoding="utf-8"?>
<ds:datastoreItem xmlns:ds="http://schemas.openxmlformats.org/officeDocument/2006/customXml" ds:itemID="{AA5D09C8-CE79-42D9-B6CF-A8602D4BE6D8}">
  <ds:schemaRefs/>
</ds:datastoreItem>
</file>

<file path=customXml/itemProps3.xml><?xml version="1.0" encoding="utf-8"?>
<ds:datastoreItem xmlns:ds="http://schemas.openxmlformats.org/officeDocument/2006/customXml" ds:itemID="{007615CB-B7AE-4A82-A982-3B3E25EF8186}">
  <ds:schemaRefs/>
</ds:datastoreItem>
</file>

<file path=docProps/app.xml><?xml version="1.0" encoding="utf-8"?>
<Properties xmlns="http://schemas.openxmlformats.org/officeDocument/2006/extended-properties" xmlns:vt="http://schemas.openxmlformats.org/officeDocument/2006/docPropsVTypes">
  <Company>TOYOTA Industries Corporation</Company>
  <Application>Microsoft Excel</Application>
  <HeadingPairs>
    <vt:vector size="2" baseType="variant">
      <vt:variant>
        <vt:lpstr>工作表</vt:lpstr>
      </vt:variant>
      <vt:variant>
        <vt:i4>6</vt:i4>
      </vt:variant>
    </vt:vector>
  </HeadingPairs>
  <TitlesOfParts>
    <vt:vector size="6" baseType="lpstr">
      <vt:lpstr>Sheet1</vt:lpstr>
      <vt:lpstr>Sheet2</vt:lpstr>
      <vt:lpstr>3.1</vt:lpstr>
      <vt:lpstr>Sheet3</vt:lpstr>
      <vt:lpstr>No36</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WPS_1744983391</cp:lastModifiedBy>
  <dcterms:created xsi:type="dcterms:W3CDTF">2025-10-16T01:10:00Z</dcterms:created>
  <dcterms:modified xsi:type="dcterms:W3CDTF">2025-12-19T11:40:59Z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2025-10-31T10:25:51Z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6e8ab7b4-9584-4228-b904-0777738e5b0d</vt:lpwstr>
  </property>
  <property fmtid="{D5CDD505-2E9C-101B-9397-08002B2CF9AE}" pid="8" name="MSIP_Label_1ab519c6-9f13-416b-ad6c-a79673c31c3f_ContentBits">
    <vt:lpwstr>0</vt:lpwstr>
  </property>
  <property fmtid="{D5CDD505-2E9C-101B-9397-08002B2CF9AE}" pid="9" name="MSIP_Label_1ab519c6-9f13-416b-ad6c-a79673c31c3f_Tag">
    <vt:lpwstr>10, 0, 1, 1</vt:lpwstr>
  </property>
  <property fmtid="{D5CDD505-2E9C-101B-9397-08002B2CF9AE}" pid="10" name="ICV">
    <vt:lpwstr>EC45B0450743421D9857B2083E336535_13</vt:lpwstr>
  </property>
  <property fmtid="{D5CDD505-2E9C-101B-9397-08002B2CF9AE}" pid="11" name="KSOProductBuildVer">
    <vt:lpwstr>1033-12.2.0.23155</vt:lpwstr>
  </property>
  <property fmtid="{D5CDD505-2E9C-101B-9397-08002B2CF9AE}" pid="12" name="ContentTypeId">
    <vt:lpwstr>0x010100837CF7A5C2F2564283709725F94A1B69</vt:lpwstr>
  </property>
  <property fmtid="{D5CDD505-2E9C-101B-9397-08002B2CF9AE}" pid="13" name="MediaServiceImageTags">
    <vt:lpwstr/>
  </property>
  <property fmtid="{D5CDD505-2E9C-101B-9397-08002B2CF9AE}" pid="14" name="lcf76f155ced4ddcb4097134ff3c332f">
    <vt:lpwstr/>
  </property>
  <property fmtid="{D5CDD505-2E9C-101B-9397-08002B2CF9AE}" pid="15" name="TaxCatchAll">
    <vt:lpwstr/>
  </property>
</Properties>
</file>