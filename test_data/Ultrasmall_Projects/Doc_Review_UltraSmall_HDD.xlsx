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Ultrasmall Project\Documentation\HDD\"/>
    </mc:Choice>
  </mc:AlternateContent>
  <xr:revisionPtr revIDLastSave="0" documentId="13_ncr:1_{C04E900E-2F53-4C48-831F-FBE0E65E9E47}" xr6:coauthVersionLast="47" xr6:coauthVersionMax="47" xr10:uidLastSave="{00000000-0000-0000-0000-000000000000}"/>
  <bookViews>
    <workbookView xWindow="28635" yWindow="-165" windowWidth="24330" windowHeight="13110" xr2:uid="{00000000-000D-0000-FFFF-FFFF00000000}"/>
  </bookViews>
  <sheets>
    <sheet name="Sheet1" sheetId="1" r:id="rId1"/>
    <sheet name="query she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 i="2" l="1"/>
  <c r="A14" i="1" l="1"/>
  <c r="A10" i="1"/>
  <c r="A8" i="1"/>
  <c r="A9" i="1"/>
  <c r="A7" i="1"/>
  <c r="A73" i="1" l="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3" i="1"/>
  <c r="A12" i="1"/>
  <c r="A11" i="1"/>
  <c r="A6" i="1"/>
  <c r="A5" i="1"/>
  <c r="A4" i="1"/>
  <c r="A3" i="1"/>
  <c r="A2" i="1"/>
</calcChain>
</file>

<file path=xl/sharedStrings.xml><?xml version="1.0" encoding="utf-8"?>
<sst xmlns="http://schemas.openxmlformats.org/spreadsheetml/2006/main" count="226" uniqueCount="103">
  <si>
    <t>No</t>
  </si>
  <si>
    <t>Page</t>
  </si>
  <si>
    <t>Item</t>
  </si>
  <si>
    <t>Comments</t>
  </si>
  <si>
    <t>Rank</t>
  </si>
  <si>
    <t>Cat</t>
  </si>
  <si>
    <t>By</t>
  </si>
  <si>
    <t>Date</t>
  </si>
  <si>
    <t>TechM Response</t>
  </si>
  <si>
    <t>Figure 72</t>
  </si>
  <si>
    <t>"Figure 72 Pinoutput..." may be "Figure 72 Pinout..."</t>
  </si>
  <si>
    <t>B</t>
  </si>
  <si>
    <t>I</t>
  </si>
  <si>
    <t>Mats</t>
  </si>
  <si>
    <t>Updated</t>
  </si>
  <si>
    <t>first paragraph</t>
  </si>
  <si>
    <t>"bring" -&gt; "brings"</t>
  </si>
  <si>
    <t>C</t>
  </si>
  <si>
    <t>Scope and Purpose</t>
  </si>
  <si>
    <t>What is the criteria for picking up devices and circuits to ?  
It says "This document provides information regarding all the IC chips that we intend to use in this design." but, for example, there is "AP63205QWU-7" BUCK 5V 2A or "AMC1311BQDWVQ1" in E-BOM but not found in the document.
If this document shows selected ICs, then it will be better to explain with what standard this document choose them.</t>
  </si>
  <si>
    <t>F</t>
  </si>
  <si>
    <t>Only critical IC's are take for Ulra small HDD</t>
  </si>
  <si>
    <t>Chap 6~32</t>
  </si>
  <si>
    <t>What is the order of the chapters?</t>
  </si>
  <si>
    <t>There is no such a order we have taken as a information was available for IC groups.</t>
  </si>
  <si>
    <t>-</t>
  </si>
  <si>
    <t>What is the rule for number of digit in this document?</t>
  </si>
  <si>
    <t>Same rules as that of ACC and Ultrasmall WCCA</t>
  </si>
  <si>
    <t>Scope and Purpose</t>
    <phoneticPr fontId="9"/>
  </si>
  <si>
    <t>Mats</t>
    <phoneticPr fontId="9"/>
  </si>
  <si>
    <t>It still says "information regarding all the IC chips that we intended to use in this design" while this document shows "selected" devices.  Need to mention about it.  (Same as #3)</t>
    <phoneticPr fontId="9"/>
  </si>
  <si>
    <t>List of pending items</t>
    <phoneticPr fontId="9"/>
  </si>
  <si>
    <t>Do we have any change plan for phase 5 to be listed here?  
- Changing OBC transformer winding ratio?
- Changing Custom inductor for with Litz wire with Kool Mu core?
- Any change related to EMC/EMI evaluation?</t>
    <phoneticPr fontId="9"/>
  </si>
  <si>
    <t>Grouping of the chapters</t>
    <phoneticPr fontId="9"/>
  </si>
  <si>
    <t>A</t>
  </si>
  <si>
    <t>Reference document</t>
    <phoneticPr fontId="9"/>
  </si>
  <si>
    <t xml:space="preserve">Will it be better to have relationship among documents (Which referes which) and role of each document to clarify what each document describes.
- Requirement specifications from TICO
- Concept design report
- Ultrasmall_SRS_V01_18Apr25_Traceability                
- Circuit Schematics
- Circuit Simulations, Thermal Simulation WCCA
- Electrical BOM 
- Mechanical BOM
- Circuit Simulations, Thermal Simulation WCCA
- PCB Layout Design
- Hardware Design Document
- Circuit Simulations, Thermal Simulation WCCA
- Interface and Integration Specifications
- DFMEA, DFM, DFA
</t>
    <phoneticPr fontId="9"/>
  </si>
  <si>
    <t>"Summary Detail Design Report Ultrasmall" for "abbreviation and unit table" is now in this document.</t>
    <phoneticPr fontId="9"/>
  </si>
  <si>
    <t>"Ultrasmall_SRS_V01_Traceability.xlsx" (Version 0.1 dated 27-June-2025" doesn't exist in TICO BOX nor elsewhere.
Dated 18 Apr 2025" was shared as WSR material on 22 Apr .</t>
    <phoneticPr fontId="9"/>
  </si>
  <si>
    <t>Revision history</t>
    <phoneticPr fontId="9"/>
  </si>
  <si>
    <t>Table 1</t>
    <phoneticPr fontId="9"/>
  </si>
  <si>
    <t>Figure 2</t>
    <phoneticPr fontId="9"/>
  </si>
  <si>
    <t>Why "HV O/P Conn" only in white which is not defined in the coloring legend?</t>
    <phoneticPr fontId="9"/>
  </si>
  <si>
    <t>Figure 3</t>
    <phoneticPr fontId="9"/>
  </si>
  <si>
    <t>Key component selection</t>
    <phoneticPr fontId="9"/>
  </si>
  <si>
    <t>It says "Components are selected based on System level requirements and architecture definition."  In which document the architecture is defined?  I suppose it will be in concept design report and architecture is defined as "topology".</t>
    <phoneticPr fontId="9"/>
  </si>
  <si>
    <t>Table 2</t>
    <phoneticPr fontId="9"/>
  </si>
  <si>
    <t>Table 4</t>
    <phoneticPr fontId="9"/>
  </si>
  <si>
    <t>GaN Gate Driver</t>
    <phoneticPr fontId="9"/>
  </si>
  <si>
    <t>20-21</t>
    <phoneticPr fontId="9"/>
  </si>
  <si>
    <t>Table 5</t>
    <phoneticPr fontId="9"/>
  </si>
  <si>
    <t>Do we need to note isoration resistance input-output with thermal condition like data sheet?</t>
    <phoneticPr fontId="9"/>
  </si>
  <si>
    <t>Table 7</t>
    <phoneticPr fontId="9"/>
  </si>
  <si>
    <t>What is the difference from Table 7?  Looks dupication.</t>
    <phoneticPr fontId="9"/>
  </si>
  <si>
    <t>Table 8</t>
    <phoneticPr fontId="9"/>
  </si>
  <si>
    <t xml:space="preserve">(Schematics and BOM)
Maybe I'm wrong to check this (since I'm don't have much electrical engineering background), but I tried to find Pull down resister value used in PCB, but, in schematics (PFC GaN Driver for S1S4), pull down resister seems to be R3530 and it is DNP (so not specifed in BOM).  Where those pull down resister exist? </t>
    <phoneticPr fontId="9"/>
  </si>
  <si>
    <t>25, 27</t>
    <phoneticPr fontId="9"/>
  </si>
  <si>
    <t>6.10 &amp; 6.11</t>
    <phoneticPr fontId="9"/>
  </si>
  <si>
    <t>"6.10 Selection of Gate Resistance for PFC GaN Driver"
"6.11	Selection of OBC Primary GaN Driver"
The contents seems identical but the titles of the section are different.  Is the note "Gate Resistance" not necessary in 6.10?</t>
    <phoneticPr fontId="9"/>
  </si>
  <si>
    <t>(Schematics)</t>
    <phoneticPr fontId="9"/>
  </si>
  <si>
    <t>The latest HDD has different chapter structure so the reference in schematics seems shifted.  But the reference clearly shows version number of the HDD so that it will be okay.  
Please be careful on the next update.</t>
    <phoneticPr fontId="9"/>
  </si>
  <si>
    <t>Table 14</t>
    <phoneticPr fontId="9"/>
  </si>
  <si>
    <t>In the datasheet, there are description on "output Pull-Up" and "output Pull-down" resisters; are these RIPU/RIPD reffers to them?  Please also be careful about the number of digit after decimal.</t>
    <phoneticPr fontId="9"/>
  </si>
  <si>
    <t>Chapter 33 is "3V3 DC-DC Regulator", not Abbreviations.</t>
  </si>
  <si>
    <t>We have mention DC full form in abbreviation list and the term "3.3 V DC-DC Regulator" is updated in chapter 33.</t>
  </si>
  <si>
    <t>I think HDD will refer to concept design documents like "Ultrasmall Block Diagram" or "TICO_Ultra-Small_2in1_Concept-Dev" for system design and component selection.  (Requirement -&gt; concept design -&gt; HDD)
SRS comes after concept design but component selection are in concept design.</t>
  </si>
  <si>
    <t>Expectation to "Hardware Design Document" will be description of design concept for the details of hardware, rather than "information regarding all the IC chips that we intended to use in this design".  Hardware (system) design from requirement to block diagram and key component selection was done at concept design (phase 1~2); this document will provide "information and design consideration for each key components based on concept design"  (The structure and concept of this document shows them).
If you only mention "information regarding all the IC chips", it looks like aggregation of data sheet (without usage consideration / design).</t>
  </si>
  <si>
    <t>GaN Gate Driver (AHV85111) is not found in table 2.
Please check all devices which have detailed description are listed in table 2.</t>
  </si>
  <si>
    <t>Update the sentence- "information and design consideration for each key components based on concept design"</t>
  </si>
  <si>
    <t xml:space="preserve">Changes are done in the phase 4 so for phase 5 there is no pending items </t>
  </si>
  <si>
    <t>Updated the reference document list</t>
  </si>
  <si>
    <t>Changed and update the reference document list</t>
  </si>
  <si>
    <t>Inconsistency in date expression.
 13-Jun-2025  /  10-Jul-25</t>
  </si>
  <si>
    <t>Updated date expression  10-Jul-25 to this 13-Jun-2025</t>
  </si>
  <si>
    <t>Figure 2</t>
  </si>
  <si>
    <t>It shows "Driver PCB", "Power PCB", "Control PCB" and "DC Link Cap PCB".  What are the relations with schematic design which has "Control PCB", DC Link Capacitor 01 PCB", "DC Link Capacitor 02 PCB", "Driver PCB", "PFC Driver Power Supply PCB", "Power PCB"?  "PFC Driver Power Supply PCB" seem to be missing.
The name can be "xxx block" rather than "xxx PCB" to avoid confusion.</t>
  </si>
  <si>
    <t>Updated in block diagram</t>
  </si>
  <si>
    <t>This block diagram is used for which block is belongs to which PCB, not to relate with blocks.</t>
  </si>
  <si>
    <t>RIPU/ RIPD are updated with RPU/ RPD abbrevation, RPU= Pull-up resistor and RPD= Pull-down resistor</t>
  </si>
  <si>
    <t>Do we need to note the conditions for Peak Source Current, like described in the data sheet?
chrome-extension://efaidnbmnnnibpcajpcglclefindmkaj/https://www.allegromicro.com/-/media/files/datasheets/ahv85111-datasheet.pdf?sc_lang=ja-jp
Like VSEC = 5.4V, Rext_pu=0Ω, ...</t>
  </si>
  <si>
    <t>Yes architecture is defined as topology and it is explained in power circuit section. And (page 16) following 6 criteria also consider for component selection</t>
  </si>
  <si>
    <t>ditto.  For example, Connector AC Input, AC Output, HVDC Output, LVDC Output cannot be found in Final Electrical BOM.
Please check all listed connectors agree with BOM</t>
  </si>
  <si>
    <t>GaN Gate Driver (1EDB7275F) is not found in table 2.
Please check all devices which have detailed description are listed in table 2.</t>
  </si>
  <si>
    <t>it is a typo mistake, updated IEDB7275F with 1EDB7275F in the table 2</t>
  </si>
  <si>
    <t xml:space="preserve"> Connector AC Input, AC Output, HVDC Output, LVDC Output it is in the mechanical BOM </t>
  </si>
  <si>
    <t>It is updated in the table according to datasheet</t>
  </si>
  <si>
    <t>Do we need to note isoration capacitance was at 1MHz?
And what is Isolation capacitance?</t>
  </si>
  <si>
    <t>Changed the  isolation capacitance name to  capacitance input-to-output as per datasheet</t>
  </si>
  <si>
    <t>Title is updated as per comment</t>
  </si>
  <si>
    <t>It is there in the table 2</t>
  </si>
  <si>
    <t>updated the name as per datasheet, Peak level Soure Current (Ig-) to High level Source Current (Ig-) Peak Sink Current (Ig-) to Low level Sink Current (Ig-)</t>
  </si>
  <si>
    <t>Are the Part Numbers correct?  Though they are "key component", I couldn't find, for example, "PL082X-61-10""ACS725LMATR-20AB-T" and some other connectors in Final Electrical BOM.
Please check all listed devices agree with BOM</t>
  </si>
  <si>
    <t>Deleted table 6 and updated as per comment</t>
  </si>
  <si>
    <t>Did surge Voltage has changed from 2500V?
In Ultra-small-2in1_Status_26Jan26.xlsx also says 2500V.
https://tico-group.box.com/s/y1wuunnrlkb23wd6n4ap8pqvpglqv3y7</t>
  </si>
  <si>
    <t>snap from HDD</t>
  </si>
  <si>
    <t>Electrical specifications uses different number of digit after decimal which is listed in data sheet.
chrome-extension://efaidnbmnnnibpcajpcglclefindmkaj/https://www.infineon.com/assets/row/public/documents/24/49/infineon-1edb7275f-datasheet-en.pdf
e.g. VDDO quiescent current Max in data sheet shows "1.0" where HDD writes "1".  Thinking about significant digit to calculate parameters, this type of information needs to match with the original document.
If the datasheet we refer shows different digit, it will be better to mention all source information like URL of the datasheet.</t>
  </si>
  <si>
    <t>In requirement specs it has given 2200V withstand surge voltage, but we have tested for 2500V as meger only have 2500V test option.</t>
  </si>
  <si>
    <t>PL082X-61-10 this part number mentioned in Mechanical BOM.  
It is typo mistaken, updated this part name ACS725LMATR-20AB-T to this ACS730KLCTR-20AB-T</t>
  </si>
  <si>
    <t xml:space="preserve">What are the red dotted lines and red bullets highlighted?  May need description on it </t>
  </si>
  <si>
    <t xml:space="preserve">The red dotted lines and red bullets highlighted external / board to board connectors. </t>
  </si>
  <si>
    <t>updated the typo mistake happen in table 8 with correct parameters.
And R3530 resistor is DNP because it kept for provision purpose only, it is removed in the production.</t>
  </si>
  <si>
    <t>Noted</t>
  </si>
  <si>
    <t xml:space="preserve">Checked the Table 5 with datasheet and updated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</si>
</sst>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10" x14ac:knownFonts="1">
    <font>
      <sz val="11"/>
      <color theme="1"/>
      <name val="Meiryo UI"/>
      <charset val="128"/>
    </font>
    <font>
      <b/>
      <sz val="11"/>
      <color theme="1"/>
      <name val="Calibri"/>
      <family val="2"/>
      <scheme val="major"/>
    </font>
    <font>
      <b/>
      <sz val="10"/>
      <name val="Meiryo UI"/>
      <family val="2"/>
    </font>
    <font>
      <sz val="11"/>
      <name val="Meiryo UI"/>
      <family val="2"/>
    </font>
    <font>
      <b/>
      <sz val="11"/>
      <name val="Arial"/>
      <family val="2"/>
    </font>
    <font>
      <sz val="11"/>
      <name val="Arial"/>
      <family val="2"/>
    </font>
    <font>
      <sz val="11"/>
      <color theme="1"/>
      <name val="Arial"/>
      <family val="2"/>
    </font>
    <font>
      <sz val="11"/>
      <color theme="1"/>
      <name val="Meiryo UI"/>
      <family val="2"/>
    </font>
    <font>
      <sz val="11"/>
      <color theme="1"/>
      <name val="Meiryo UI"/>
      <family val="2"/>
    </font>
    <font>
      <sz val="6"/>
      <name val="Meiryo UI"/>
      <charset val="128"/>
    </font>
  </fonts>
  <fills count="5">
    <fill>
      <patternFill patternType="none"/>
    </fill>
    <fill>
      <patternFill patternType="gray125"/>
    </fill>
    <fill>
      <patternFill patternType="solid">
        <fgColor theme="3" tint="0.89996032593768116"/>
        <bgColor indexed="64"/>
      </patternFill>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8" fillId="0" borderId="0">
      <alignment vertical="center"/>
    </xf>
  </cellStyleXfs>
  <cellXfs count="36">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justify"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shrinkToFi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164" fontId="3"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6"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vertical="top" wrapText="1"/>
    </xf>
    <xf numFmtId="164" fontId="3" fillId="3" borderId="1" xfId="0" applyNumberFormat="1" applyFont="1" applyFill="1" applyBorder="1" applyAlignment="1">
      <alignment horizontal="center" vertical="center" wrapText="1"/>
    </xf>
    <xf numFmtId="0" fontId="5" fillId="3" borderId="1" xfId="0" applyFont="1" applyFill="1" applyBorder="1" applyAlignment="1">
      <alignment horizontal="justify" vertical="center" wrapText="1"/>
    </xf>
    <xf numFmtId="0" fontId="5" fillId="4" borderId="1" xfId="0" applyFont="1" applyFill="1" applyBorder="1" applyAlignment="1">
      <alignment horizontal="justify" vertical="center" wrapText="1"/>
    </xf>
    <xf numFmtId="0" fontId="5" fillId="0" borderId="1" xfId="0" applyFont="1" applyFill="1" applyBorder="1" applyAlignment="1">
      <alignment horizontal="justify" vertical="center" wrapText="1"/>
    </xf>
    <xf numFmtId="0" fontId="7" fillId="0" borderId="1" xfId="0" applyFont="1" applyBorder="1" applyAlignment="1">
      <alignment wrapText="1"/>
    </xf>
    <xf numFmtId="0" fontId="3" fillId="0" borderId="1" xfId="0" applyFont="1" applyFill="1" applyBorder="1" applyAlignment="1">
      <alignment horizontal="center" vertical="center" wrapText="1"/>
    </xf>
    <xf numFmtId="0" fontId="3" fillId="0" borderId="1" xfId="0" applyFont="1" applyFill="1" applyBorder="1" applyAlignment="1">
      <alignment vertical="center" wrapText="1"/>
    </xf>
    <xf numFmtId="164" fontId="3" fillId="0" borderId="1" xfId="0" applyNumberFormat="1" applyFont="1" applyFill="1" applyBorder="1" applyAlignment="1">
      <alignment horizontal="center" vertical="center" wrapText="1"/>
    </xf>
    <xf numFmtId="0" fontId="0" fillId="0" borderId="0" xfId="0" applyFill="1" applyAlignment="1">
      <alignment vertical="center" wrapText="1"/>
    </xf>
    <xf numFmtId="0" fontId="0" fillId="0" borderId="1" xfId="0" applyBorder="1">
      <alignment vertical="center"/>
    </xf>
    <xf numFmtId="0" fontId="3" fillId="0" borderId="0" xfId="0" applyFont="1" applyFill="1" applyBorder="1" applyAlignment="1">
      <alignment horizontal="center" vertical="center" wrapText="1"/>
    </xf>
    <xf numFmtId="0" fontId="3" fillId="0" borderId="0" xfId="0" applyFont="1" applyFill="1" applyBorder="1" applyAlignment="1">
      <alignment vertical="center" wrapText="1"/>
    </xf>
    <xf numFmtId="164" fontId="3" fillId="0" borderId="0" xfId="0" applyNumberFormat="1" applyFont="1" applyFill="1" applyBorder="1" applyAlignment="1">
      <alignment horizontal="center" vertical="center" wrapText="1"/>
    </xf>
    <xf numFmtId="0" fontId="5" fillId="0" borderId="0" xfId="0" applyFont="1" applyFill="1" applyBorder="1" applyAlignment="1">
      <alignment vertical="center" wrapText="1"/>
    </xf>
    <xf numFmtId="0" fontId="0" fillId="0" borderId="0" xfId="0" applyBorder="1">
      <alignment vertical="center"/>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45358</xdr:colOff>
      <xdr:row>31</xdr:row>
      <xdr:rowOff>117929</xdr:rowOff>
    </xdr:from>
    <xdr:to>
      <xdr:col>8</xdr:col>
      <xdr:colOff>3414729</xdr:colOff>
      <xdr:row>31</xdr:row>
      <xdr:rowOff>353785</xdr:rowOff>
    </xdr:to>
    <xdr:pic>
      <xdr:nvPicPr>
        <xdr:cNvPr id="2" name="Picture 1">
          <a:extLst>
            <a:ext uri="{FF2B5EF4-FFF2-40B4-BE49-F238E27FC236}">
              <a16:creationId xmlns:a16="http://schemas.microsoft.com/office/drawing/2014/main" id="{88948EB0-3763-411A-990D-F9D73C929F01}"/>
            </a:ext>
          </a:extLst>
        </xdr:cNvPr>
        <xdr:cNvPicPr>
          <a:picLocks noChangeAspect="1"/>
        </xdr:cNvPicPr>
      </xdr:nvPicPr>
      <xdr:blipFill>
        <a:blip xmlns:r="http://schemas.openxmlformats.org/officeDocument/2006/relationships" r:embed="rId1"/>
        <a:stretch>
          <a:fillRect/>
        </a:stretch>
      </xdr:blipFill>
      <xdr:spPr>
        <a:xfrm>
          <a:off x="11112501" y="24746858"/>
          <a:ext cx="3369371" cy="2358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1052286</xdr:colOff>
      <xdr:row>1</xdr:row>
      <xdr:rowOff>172358</xdr:rowOff>
    </xdr:from>
    <xdr:to>
      <xdr:col>10</xdr:col>
      <xdr:colOff>2862123</xdr:colOff>
      <xdr:row>1</xdr:row>
      <xdr:rowOff>1968501</xdr:rowOff>
    </xdr:to>
    <xdr:pic>
      <xdr:nvPicPr>
        <xdr:cNvPr id="3" name="Picture 2">
          <a:extLst>
            <a:ext uri="{FF2B5EF4-FFF2-40B4-BE49-F238E27FC236}">
              <a16:creationId xmlns:a16="http://schemas.microsoft.com/office/drawing/2014/main" id="{C7A5BFC5-35A7-45CC-9F46-4E8ADD17E6E3}"/>
            </a:ext>
          </a:extLst>
        </xdr:cNvPr>
        <xdr:cNvPicPr>
          <a:picLocks noChangeAspect="1"/>
        </xdr:cNvPicPr>
      </xdr:nvPicPr>
      <xdr:blipFill>
        <a:blip xmlns:r="http://schemas.openxmlformats.org/officeDocument/2006/relationships" r:embed="rId1"/>
        <a:stretch>
          <a:fillRect/>
        </a:stretch>
      </xdr:blipFill>
      <xdr:spPr>
        <a:xfrm>
          <a:off x="11157857" y="526144"/>
          <a:ext cx="1809837" cy="1796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3"/>
  <sheetViews>
    <sheetView tabSelected="1" zoomScale="70" zoomScaleNormal="70" workbookViewId="0">
      <selection activeCell="I14" sqref="I14"/>
    </sheetView>
  </sheetViews>
  <sheetFormatPr defaultColWidth="9" defaultRowHeight="15" x14ac:dyDescent="0.35"/>
  <cols>
    <col min="1" max="1" width="3.640625" style="1" customWidth="1"/>
    <col min="2" max="2" width="14.140625" style="1" customWidth="1"/>
    <col min="3" max="3" width="14.78515625" style="2" customWidth="1"/>
    <col min="4" max="4" width="56.5703125" style="2" customWidth="1"/>
    <col min="5" max="5" width="7.78515625" style="1" customWidth="1"/>
    <col min="6" max="6" width="7.28515625" style="1" customWidth="1"/>
    <col min="7" max="7" width="12.35546875" style="1" customWidth="1"/>
    <col min="8" max="8" width="9.5" style="1" customWidth="1"/>
    <col min="9" max="9" width="42.640625" style="3" customWidth="1"/>
    <col min="10" max="10" width="8" style="1" customWidth="1"/>
    <col min="11" max="11" width="45.640625" style="2" customWidth="1"/>
    <col min="12" max="16384" width="9" style="2"/>
  </cols>
  <sheetData>
    <row r="1" spans="1:10" x14ac:dyDescent="0.35">
      <c r="A1" s="4" t="s">
        <v>0</v>
      </c>
      <c r="B1" s="4" t="s">
        <v>1</v>
      </c>
      <c r="C1" s="5" t="s">
        <v>2</v>
      </c>
      <c r="D1" s="5" t="s">
        <v>3</v>
      </c>
      <c r="E1" s="6" t="s">
        <v>4</v>
      </c>
      <c r="F1" s="6" t="s">
        <v>5</v>
      </c>
      <c r="G1" s="4" t="s">
        <v>6</v>
      </c>
      <c r="H1" s="4" t="s">
        <v>7</v>
      </c>
      <c r="I1" s="10" t="s">
        <v>8</v>
      </c>
      <c r="J1" s="4" t="s">
        <v>7</v>
      </c>
    </row>
    <row r="2" spans="1:10" x14ac:dyDescent="0.35">
      <c r="A2" s="18">
        <f>IF(ISBLANK(B2),"",ROW()-1)</f>
        <v>1</v>
      </c>
      <c r="B2" s="18">
        <v>109</v>
      </c>
      <c r="C2" s="19" t="s">
        <v>9</v>
      </c>
      <c r="D2" s="20" t="s">
        <v>10</v>
      </c>
      <c r="E2" s="18" t="s">
        <v>11</v>
      </c>
      <c r="F2" s="18" t="s">
        <v>12</v>
      </c>
      <c r="G2" s="18" t="s">
        <v>13</v>
      </c>
      <c r="H2" s="21">
        <v>46101</v>
      </c>
      <c r="I2" s="22" t="s">
        <v>14</v>
      </c>
      <c r="J2" s="21"/>
    </row>
    <row r="3" spans="1:10" x14ac:dyDescent="0.35">
      <c r="A3" s="18">
        <f>IF(ISBLANK(B3),"",ROW()-1)</f>
        <v>2</v>
      </c>
      <c r="B3" s="18">
        <v>59</v>
      </c>
      <c r="C3" s="19" t="s">
        <v>15</v>
      </c>
      <c r="D3" s="19" t="s">
        <v>16</v>
      </c>
      <c r="E3" s="18" t="s">
        <v>17</v>
      </c>
      <c r="F3" s="18" t="s">
        <v>12</v>
      </c>
      <c r="G3" s="18" t="s">
        <v>13</v>
      </c>
      <c r="H3" s="21">
        <v>46101</v>
      </c>
      <c r="I3" s="22" t="s">
        <v>14</v>
      </c>
      <c r="J3" s="21"/>
    </row>
    <row r="4" spans="1:10" ht="105" x14ac:dyDescent="0.35">
      <c r="A4" s="18">
        <f t="shared" ref="A4:A6" si="0">IF(ISBLANK(B4),"",ROW()-1)</f>
        <v>3</v>
      </c>
      <c r="B4" s="18">
        <v>1</v>
      </c>
      <c r="C4" s="19" t="s">
        <v>18</v>
      </c>
      <c r="D4" s="20" t="s">
        <v>19</v>
      </c>
      <c r="E4" s="18" t="s">
        <v>11</v>
      </c>
      <c r="F4" s="18" t="s">
        <v>20</v>
      </c>
      <c r="G4" s="18" t="s">
        <v>13</v>
      </c>
      <c r="H4" s="21">
        <v>46101</v>
      </c>
      <c r="I4" s="22" t="s">
        <v>21</v>
      </c>
      <c r="J4" s="21"/>
    </row>
    <row r="5" spans="1:10" ht="28" x14ac:dyDescent="0.35">
      <c r="A5" s="18">
        <f t="shared" si="0"/>
        <v>4</v>
      </c>
      <c r="B5" s="18">
        <v>1</v>
      </c>
      <c r="C5" s="19" t="s">
        <v>22</v>
      </c>
      <c r="D5" s="19" t="s">
        <v>23</v>
      </c>
      <c r="E5" s="18" t="s">
        <v>17</v>
      </c>
      <c r="F5" s="18" t="s">
        <v>20</v>
      </c>
      <c r="G5" s="18" t="s">
        <v>13</v>
      </c>
      <c r="H5" s="21">
        <v>46101</v>
      </c>
      <c r="I5" s="22" t="s">
        <v>24</v>
      </c>
      <c r="J5" s="21"/>
    </row>
    <row r="6" spans="1:10" ht="28" x14ac:dyDescent="0.35">
      <c r="A6" s="18">
        <f t="shared" si="0"/>
        <v>5</v>
      </c>
      <c r="B6" s="18" t="s">
        <v>25</v>
      </c>
      <c r="C6" s="19" t="s">
        <v>25</v>
      </c>
      <c r="D6" s="19" t="s">
        <v>26</v>
      </c>
      <c r="E6" s="18" t="s">
        <v>17</v>
      </c>
      <c r="F6" s="18" t="s">
        <v>20</v>
      </c>
      <c r="G6" s="18" t="s">
        <v>13</v>
      </c>
      <c r="H6" s="21">
        <v>46101</v>
      </c>
      <c r="I6" s="22" t="s">
        <v>27</v>
      </c>
      <c r="J6" s="21"/>
    </row>
    <row r="7" spans="1:10" ht="150" x14ac:dyDescent="0.35">
      <c r="A7" s="7">
        <f t="shared" ref="A7:A43" si="1">IF(ISBLANK(B7),"",ROW()-1)</f>
        <v>6</v>
      </c>
      <c r="B7" s="7">
        <v>1</v>
      </c>
      <c r="C7" s="8" t="s">
        <v>28</v>
      </c>
      <c r="D7" s="8" t="s">
        <v>66</v>
      </c>
      <c r="E7" s="7" t="s">
        <v>17</v>
      </c>
      <c r="F7" s="7" t="s">
        <v>12</v>
      </c>
      <c r="G7" s="7" t="s">
        <v>29</v>
      </c>
      <c r="H7" s="9">
        <v>46112</v>
      </c>
      <c r="I7" s="11" t="s">
        <v>68</v>
      </c>
      <c r="J7" s="9"/>
    </row>
    <row r="8" spans="1:10" ht="45" x14ac:dyDescent="0.35">
      <c r="A8" s="7">
        <f t="shared" si="1"/>
        <v>7</v>
      </c>
      <c r="B8" s="7">
        <v>1</v>
      </c>
      <c r="C8" s="8" t="s">
        <v>28</v>
      </c>
      <c r="D8" s="8" t="s">
        <v>30</v>
      </c>
      <c r="E8" s="7" t="s">
        <v>11</v>
      </c>
      <c r="F8" s="7" t="s">
        <v>20</v>
      </c>
      <c r="G8" s="7" t="s">
        <v>29</v>
      </c>
      <c r="H8" s="9">
        <v>46112</v>
      </c>
      <c r="I8" s="11" t="s">
        <v>68</v>
      </c>
      <c r="J8" s="9"/>
    </row>
    <row r="9" spans="1:10" ht="60" x14ac:dyDescent="0.35">
      <c r="A9" s="7">
        <f t="shared" si="1"/>
        <v>8</v>
      </c>
      <c r="B9" s="7">
        <v>1</v>
      </c>
      <c r="C9" s="8" t="s">
        <v>31</v>
      </c>
      <c r="D9" s="8" t="s">
        <v>32</v>
      </c>
      <c r="E9" s="7" t="s">
        <v>11</v>
      </c>
      <c r="F9" s="7" t="s">
        <v>20</v>
      </c>
      <c r="G9" s="7" t="s">
        <v>29</v>
      </c>
      <c r="H9" s="9">
        <v>46112</v>
      </c>
      <c r="I9" s="11" t="s">
        <v>69</v>
      </c>
      <c r="J9" s="9"/>
    </row>
    <row r="10" spans="1:10" ht="49" customHeight="1" x14ac:dyDescent="0.35">
      <c r="A10" s="7">
        <f t="shared" si="1"/>
        <v>9</v>
      </c>
      <c r="B10" s="7">
        <v>1</v>
      </c>
      <c r="C10" s="8" t="s">
        <v>33</v>
      </c>
      <c r="D10" s="8" t="s">
        <v>63</v>
      </c>
      <c r="E10" s="7" t="s">
        <v>34</v>
      </c>
      <c r="F10" s="7" t="s">
        <v>20</v>
      </c>
      <c r="G10" s="7" t="s">
        <v>29</v>
      </c>
      <c r="H10" s="9">
        <v>46112</v>
      </c>
      <c r="I10" s="11" t="s">
        <v>64</v>
      </c>
      <c r="J10" s="9"/>
    </row>
    <row r="11" spans="1:10" ht="90" x14ac:dyDescent="0.35">
      <c r="A11" s="7">
        <f t="shared" si="1"/>
        <v>10</v>
      </c>
      <c r="B11" s="7">
        <v>2</v>
      </c>
      <c r="C11" s="8" t="s">
        <v>35</v>
      </c>
      <c r="D11" s="8" t="s">
        <v>65</v>
      </c>
      <c r="E11" s="7" t="s">
        <v>17</v>
      </c>
      <c r="F11" s="7" t="s">
        <v>20</v>
      </c>
      <c r="G11" s="7" t="s">
        <v>29</v>
      </c>
      <c r="H11" s="9">
        <v>46112</v>
      </c>
      <c r="I11" s="11" t="s">
        <v>70</v>
      </c>
      <c r="J11" s="9"/>
    </row>
    <row r="12" spans="1:10" ht="255" x14ac:dyDescent="0.35">
      <c r="A12" s="7">
        <f t="shared" si="1"/>
        <v>11</v>
      </c>
      <c r="B12" s="7">
        <v>2</v>
      </c>
      <c r="C12" s="8" t="s">
        <v>35</v>
      </c>
      <c r="D12" s="8" t="s">
        <v>36</v>
      </c>
      <c r="E12" s="7" t="s">
        <v>17</v>
      </c>
      <c r="F12" s="7" t="s">
        <v>12</v>
      </c>
      <c r="G12" s="7" t="s">
        <v>29</v>
      </c>
      <c r="H12" s="9">
        <v>46112</v>
      </c>
      <c r="I12" s="11" t="s">
        <v>70</v>
      </c>
      <c r="J12" s="9"/>
    </row>
    <row r="13" spans="1:10" ht="30" x14ac:dyDescent="0.35">
      <c r="A13" s="7">
        <f t="shared" si="1"/>
        <v>12</v>
      </c>
      <c r="B13" s="7">
        <v>2</v>
      </c>
      <c r="C13" s="8" t="s">
        <v>35</v>
      </c>
      <c r="D13" s="8" t="s">
        <v>37</v>
      </c>
      <c r="E13" s="7" t="s">
        <v>34</v>
      </c>
      <c r="F13" s="7" t="s">
        <v>20</v>
      </c>
      <c r="G13" s="7" t="s">
        <v>29</v>
      </c>
      <c r="H13" s="9">
        <v>46112</v>
      </c>
      <c r="I13" s="11" t="s">
        <v>71</v>
      </c>
      <c r="J13" s="9"/>
    </row>
    <row r="14" spans="1:10" ht="45" x14ac:dyDescent="0.35">
      <c r="A14" s="7">
        <f t="shared" si="1"/>
        <v>13</v>
      </c>
      <c r="B14" s="7">
        <v>2</v>
      </c>
      <c r="C14" s="8" t="s">
        <v>35</v>
      </c>
      <c r="D14" s="8" t="s">
        <v>38</v>
      </c>
      <c r="E14" s="7"/>
      <c r="F14" s="7"/>
      <c r="G14" s="7" t="s">
        <v>29</v>
      </c>
      <c r="H14" s="9">
        <v>46112</v>
      </c>
      <c r="I14" s="23"/>
      <c r="J14" s="9"/>
    </row>
    <row r="15" spans="1:10" ht="30" x14ac:dyDescent="0.35">
      <c r="A15" s="7">
        <f t="shared" si="1"/>
        <v>14</v>
      </c>
      <c r="B15" s="7">
        <v>2</v>
      </c>
      <c r="C15" s="8" t="s">
        <v>39</v>
      </c>
      <c r="D15" s="8" t="s">
        <v>72</v>
      </c>
      <c r="E15" s="7" t="s">
        <v>11</v>
      </c>
      <c r="F15" s="7" t="s">
        <v>12</v>
      </c>
      <c r="G15" s="7" t="s">
        <v>29</v>
      </c>
      <c r="H15" s="9">
        <v>46112</v>
      </c>
      <c r="I15" s="12" t="s">
        <v>73</v>
      </c>
      <c r="J15" s="9"/>
    </row>
    <row r="16" spans="1:10" s="29" customFormat="1" ht="61.9" customHeight="1" x14ac:dyDescent="0.35">
      <c r="A16" s="26">
        <f t="shared" si="1"/>
        <v>15</v>
      </c>
      <c r="B16" s="26">
        <v>13</v>
      </c>
      <c r="C16" s="27" t="s">
        <v>40</v>
      </c>
      <c r="D16" s="27" t="s">
        <v>93</v>
      </c>
      <c r="E16" s="26" t="s">
        <v>34</v>
      </c>
      <c r="F16" s="26" t="s">
        <v>20</v>
      </c>
      <c r="G16" s="26" t="s">
        <v>29</v>
      </c>
      <c r="H16" s="28">
        <v>46112</v>
      </c>
      <c r="I16" s="29" t="s">
        <v>96</v>
      </c>
      <c r="J16" s="28"/>
    </row>
    <row r="17" spans="1:10" ht="108" customHeight="1" x14ac:dyDescent="0.35">
      <c r="A17" s="7">
        <f t="shared" si="1"/>
        <v>16</v>
      </c>
      <c r="B17" s="7">
        <v>14</v>
      </c>
      <c r="C17" s="8" t="s">
        <v>74</v>
      </c>
      <c r="D17" s="8" t="s">
        <v>75</v>
      </c>
      <c r="E17" s="7" t="s">
        <v>11</v>
      </c>
      <c r="F17" s="7" t="s">
        <v>20</v>
      </c>
      <c r="G17" s="7" t="s">
        <v>29</v>
      </c>
      <c r="H17" s="9">
        <v>46112</v>
      </c>
      <c r="I17" s="24" t="s">
        <v>77</v>
      </c>
      <c r="J17" s="9"/>
    </row>
    <row r="18" spans="1:10" ht="30" x14ac:dyDescent="0.35">
      <c r="A18" s="7">
        <f t="shared" si="1"/>
        <v>17</v>
      </c>
      <c r="B18" s="7">
        <v>14</v>
      </c>
      <c r="C18" s="8" t="s">
        <v>41</v>
      </c>
      <c r="D18" s="8" t="s">
        <v>42</v>
      </c>
      <c r="E18" s="7" t="s">
        <v>17</v>
      </c>
      <c r="F18" s="7" t="s">
        <v>20</v>
      </c>
      <c r="G18" s="7" t="s">
        <v>29</v>
      </c>
      <c r="H18" s="9">
        <v>46112</v>
      </c>
      <c r="I18" s="12" t="s">
        <v>76</v>
      </c>
      <c r="J18" s="9"/>
    </row>
    <row r="19" spans="1:10" s="29" customFormat="1" ht="30" x14ac:dyDescent="0.35">
      <c r="A19" s="26">
        <f t="shared" si="1"/>
        <v>18</v>
      </c>
      <c r="B19" s="26">
        <v>15</v>
      </c>
      <c r="C19" s="27" t="s">
        <v>43</v>
      </c>
      <c r="D19" s="27" t="s">
        <v>98</v>
      </c>
      <c r="E19" s="26" t="s">
        <v>11</v>
      </c>
      <c r="F19" s="26" t="s">
        <v>20</v>
      </c>
      <c r="G19" s="26" t="s">
        <v>29</v>
      </c>
      <c r="H19" s="28">
        <v>46112</v>
      </c>
      <c r="I19" s="24" t="s">
        <v>99</v>
      </c>
      <c r="J19" s="28"/>
    </row>
    <row r="20" spans="1:10" ht="60" x14ac:dyDescent="0.35">
      <c r="A20" s="7">
        <f t="shared" si="1"/>
        <v>19</v>
      </c>
      <c r="B20" s="7">
        <v>16</v>
      </c>
      <c r="C20" s="8" t="s">
        <v>44</v>
      </c>
      <c r="D20" s="8" t="s">
        <v>45</v>
      </c>
      <c r="E20" s="7" t="s">
        <v>17</v>
      </c>
      <c r="F20" s="7" t="s">
        <v>20</v>
      </c>
      <c r="G20" s="7" t="s">
        <v>29</v>
      </c>
      <c r="H20" s="9">
        <v>46112</v>
      </c>
      <c r="I20" s="11" t="s">
        <v>80</v>
      </c>
      <c r="J20" s="9"/>
    </row>
    <row r="21" spans="1:10" ht="60" x14ac:dyDescent="0.35">
      <c r="A21" s="7">
        <f t="shared" si="1"/>
        <v>20</v>
      </c>
      <c r="B21" s="7">
        <v>16</v>
      </c>
      <c r="C21" s="8" t="s">
        <v>46</v>
      </c>
      <c r="D21" s="8" t="s">
        <v>91</v>
      </c>
      <c r="E21" s="7" t="s">
        <v>34</v>
      </c>
      <c r="F21" s="7" t="s">
        <v>20</v>
      </c>
      <c r="G21" s="7" t="s">
        <v>29</v>
      </c>
      <c r="H21" s="9">
        <v>46112</v>
      </c>
      <c r="I21" s="24" t="s">
        <v>97</v>
      </c>
      <c r="J21" s="9"/>
    </row>
    <row r="22" spans="1:10" ht="45" x14ac:dyDescent="0.35">
      <c r="A22" s="7">
        <f t="shared" si="1"/>
        <v>21</v>
      </c>
      <c r="B22" s="7">
        <v>18</v>
      </c>
      <c r="C22" s="8" t="s">
        <v>47</v>
      </c>
      <c r="D22" s="8" t="s">
        <v>81</v>
      </c>
      <c r="E22" s="7" t="s">
        <v>34</v>
      </c>
      <c r="F22" s="7" t="s">
        <v>20</v>
      </c>
      <c r="G22" s="7" t="s">
        <v>29</v>
      </c>
      <c r="H22" s="9">
        <v>46112</v>
      </c>
      <c r="I22" s="11" t="s">
        <v>84</v>
      </c>
      <c r="J22" s="9"/>
    </row>
    <row r="23" spans="1:10" ht="45" x14ac:dyDescent="0.35">
      <c r="A23" s="7">
        <f t="shared" si="1"/>
        <v>22</v>
      </c>
      <c r="B23" s="7">
        <v>19</v>
      </c>
      <c r="C23" s="8" t="s">
        <v>48</v>
      </c>
      <c r="D23" s="8" t="s">
        <v>82</v>
      </c>
      <c r="E23" s="7" t="s">
        <v>34</v>
      </c>
      <c r="F23" s="7" t="s">
        <v>20</v>
      </c>
      <c r="G23" s="7" t="s">
        <v>29</v>
      </c>
      <c r="H23" s="9">
        <v>46113</v>
      </c>
      <c r="I23" s="11" t="s">
        <v>83</v>
      </c>
      <c r="J23" s="9"/>
    </row>
    <row r="24" spans="1:10" ht="195" x14ac:dyDescent="0.35">
      <c r="A24" s="7">
        <f t="shared" si="1"/>
        <v>23</v>
      </c>
      <c r="B24" s="7" t="s">
        <v>49</v>
      </c>
      <c r="C24" s="8" t="s">
        <v>50</v>
      </c>
      <c r="D24" s="8" t="s">
        <v>95</v>
      </c>
      <c r="E24" s="7" t="s">
        <v>17</v>
      </c>
      <c r="F24" s="7" t="s">
        <v>20</v>
      </c>
      <c r="G24" s="7" t="s">
        <v>29</v>
      </c>
      <c r="H24" s="9">
        <v>46113</v>
      </c>
      <c r="I24" s="24" t="s">
        <v>102</v>
      </c>
      <c r="J24" s="9"/>
    </row>
    <row r="25" spans="1:10" ht="30" x14ac:dyDescent="0.35">
      <c r="A25" s="7">
        <f t="shared" si="1"/>
        <v>24</v>
      </c>
      <c r="B25" s="7" t="s">
        <v>49</v>
      </c>
      <c r="C25" s="8" t="s">
        <v>50</v>
      </c>
      <c r="D25" s="8" t="s">
        <v>51</v>
      </c>
      <c r="E25" s="7" t="s">
        <v>17</v>
      </c>
      <c r="F25" s="7" t="s">
        <v>20</v>
      </c>
      <c r="G25" s="7" t="s">
        <v>29</v>
      </c>
      <c r="H25" s="9">
        <v>46113</v>
      </c>
      <c r="I25" s="11" t="s">
        <v>85</v>
      </c>
      <c r="J25" s="9"/>
    </row>
    <row r="26" spans="1:10" ht="30" x14ac:dyDescent="0.35">
      <c r="A26" s="7">
        <f t="shared" si="1"/>
        <v>25</v>
      </c>
      <c r="B26" s="7" t="s">
        <v>49</v>
      </c>
      <c r="C26" s="8" t="s">
        <v>50</v>
      </c>
      <c r="D26" s="8" t="s">
        <v>86</v>
      </c>
      <c r="E26" s="7" t="s">
        <v>17</v>
      </c>
      <c r="F26" s="7" t="s">
        <v>20</v>
      </c>
      <c r="G26" s="7" t="s">
        <v>29</v>
      </c>
      <c r="H26" s="9">
        <v>46113</v>
      </c>
      <c r="I26" s="11" t="s">
        <v>87</v>
      </c>
      <c r="J26" s="9"/>
    </row>
    <row r="27" spans="1:10" x14ac:dyDescent="0.35">
      <c r="A27" s="7">
        <f t="shared" si="1"/>
        <v>26</v>
      </c>
      <c r="B27" s="7">
        <v>22</v>
      </c>
      <c r="C27" s="8" t="s">
        <v>52</v>
      </c>
      <c r="D27" s="8" t="s">
        <v>53</v>
      </c>
      <c r="E27" s="7" t="s">
        <v>11</v>
      </c>
      <c r="F27" s="7" t="s">
        <v>20</v>
      </c>
      <c r="G27" s="7" t="s">
        <v>29</v>
      </c>
      <c r="H27" s="9">
        <v>46113</v>
      </c>
      <c r="I27" s="24" t="s">
        <v>92</v>
      </c>
      <c r="J27" s="9"/>
    </row>
    <row r="28" spans="1:10" s="29" customFormat="1" ht="90" x14ac:dyDescent="0.35">
      <c r="A28" s="26">
        <f t="shared" si="1"/>
        <v>27</v>
      </c>
      <c r="B28" s="26">
        <v>22</v>
      </c>
      <c r="C28" s="27" t="s">
        <v>54</v>
      </c>
      <c r="D28" s="27" t="s">
        <v>55</v>
      </c>
      <c r="E28" s="26" t="s">
        <v>17</v>
      </c>
      <c r="F28" s="26" t="s">
        <v>20</v>
      </c>
      <c r="G28" s="26" t="s">
        <v>29</v>
      </c>
      <c r="H28" s="28">
        <v>46113</v>
      </c>
      <c r="I28" s="24" t="s">
        <v>100</v>
      </c>
      <c r="J28" s="28"/>
    </row>
    <row r="29" spans="1:10" ht="60" x14ac:dyDescent="0.35">
      <c r="A29" s="7">
        <f t="shared" si="1"/>
        <v>28</v>
      </c>
      <c r="B29" s="7" t="s">
        <v>56</v>
      </c>
      <c r="C29" s="8" t="s">
        <v>57</v>
      </c>
      <c r="D29" s="8" t="s">
        <v>58</v>
      </c>
      <c r="E29" s="7" t="s">
        <v>17</v>
      </c>
      <c r="F29" s="7" t="s">
        <v>20</v>
      </c>
      <c r="G29" s="7" t="s">
        <v>29</v>
      </c>
      <c r="H29" s="9">
        <v>46113</v>
      </c>
      <c r="I29" s="11" t="s">
        <v>88</v>
      </c>
      <c r="J29" s="9"/>
    </row>
    <row r="30" spans="1:10" ht="60" x14ac:dyDescent="0.35">
      <c r="A30" s="7">
        <f t="shared" si="1"/>
        <v>29</v>
      </c>
      <c r="B30" s="7" t="s">
        <v>56</v>
      </c>
      <c r="C30" s="8" t="s">
        <v>57</v>
      </c>
      <c r="D30" s="8" t="s">
        <v>58</v>
      </c>
      <c r="E30" s="7" t="s">
        <v>17</v>
      </c>
      <c r="F30" s="7" t="s">
        <v>20</v>
      </c>
      <c r="G30" s="7" t="s">
        <v>29</v>
      </c>
      <c r="H30" s="9">
        <v>46113</v>
      </c>
      <c r="I30" s="11" t="s">
        <v>88</v>
      </c>
      <c r="J30" s="9"/>
    </row>
    <row r="31" spans="1:10" ht="60" x14ac:dyDescent="0.35">
      <c r="A31" s="7">
        <f t="shared" si="1"/>
        <v>30</v>
      </c>
      <c r="B31" s="7" t="s">
        <v>59</v>
      </c>
      <c r="C31" s="8" t="s">
        <v>35</v>
      </c>
      <c r="D31" s="8" t="s">
        <v>60</v>
      </c>
      <c r="E31" s="7"/>
      <c r="F31" s="7"/>
      <c r="G31" s="7" t="s">
        <v>29</v>
      </c>
      <c r="H31" s="9">
        <v>46113</v>
      </c>
      <c r="I31" s="11" t="s">
        <v>101</v>
      </c>
      <c r="J31" s="9"/>
    </row>
    <row r="32" spans="1:10" ht="69.5" customHeight="1" x14ac:dyDescent="0.35">
      <c r="A32" s="7">
        <f t="shared" si="1"/>
        <v>31</v>
      </c>
      <c r="B32" s="7">
        <v>29</v>
      </c>
      <c r="C32" s="8" t="s">
        <v>48</v>
      </c>
      <c r="D32" s="8" t="s">
        <v>67</v>
      </c>
      <c r="E32" s="7" t="s">
        <v>34</v>
      </c>
      <c r="F32" s="7" t="s">
        <v>20</v>
      </c>
      <c r="G32" s="7" t="s">
        <v>29</v>
      </c>
      <c r="H32" s="9">
        <v>46113</v>
      </c>
      <c r="I32" s="25" t="s">
        <v>89</v>
      </c>
      <c r="J32" s="9"/>
    </row>
    <row r="33" spans="1:10" ht="105" x14ac:dyDescent="0.35">
      <c r="A33" s="7">
        <f t="shared" si="1"/>
        <v>32</v>
      </c>
      <c r="B33" s="7">
        <v>31</v>
      </c>
      <c r="C33" s="8" t="s">
        <v>61</v>
      </c>
      <c r="D33" s="8" t="s">
        <v>79</v>
      </c>
      <c r="E33" s="7" t="s">
        <v>17</v>
      </c>
      <c r="F33" s="7" t="s">
        <v>20</v>
      </c>
      <c r="G33" s="7" t="s">
        <v>29</v>
      </c>
      <c r="H33" s="9">
        <v>46113</v>
      </c>
      <c r="I33" s="11" t="s">
        <v>90</v>
      </c>
      <c r="J33" s="9"/>
    </row>
    <row r="34" spans="1:10" ht="45" x14ac:dyDescent="0.35">
      <c r="A34" s="7">
        <f t="shared" si="1"/>
        <v>33</v>
      </c>
      <c r="B34" s="7">
        <v>31</v>
      </c>
      <c r="C34" s="8" t="s">
        <v>61</v>
      </c>
      <c r="D34" s="8" t="s">
        <v>62</v>
      </c>
      <c r="E34" s="7" t="s">
        <v>11</v>
      </c>
      <c r="F34" s="7" t="s">
        <v>20</v>
      </c>
      <c r="G34" s="7" t="s">
        <v>29</v>
      </c>
      <c r="H34" s="9">
        <v>46113</v>
      </c>
      <c r="I34" s="11" t="s">
        <v>78</v>
      </c>
      <c r="J34" s="9"/>
    </row>
    <row r="35" spans="1:10" x14ac:dyDescent="0.35">
      <c r="A35" s="7" t="str">
        <f t="shared" si="1"/>
        <v/>
      </c>
      <c r="B35" s="7"/>
      <c r="C35" s="8"/>
      <c r="D35" s="8"/>
      <c r="E35" s="7"/>
      <c r="F35" s="7"/>
      <c r="G35" s="7"/>
      <c r="H35" s="9"/>
      <c r="I35" s="11"/>
      <c r="J35" s="9"/>
    </row>
    <row r="36" spans="1:10" x14ac:dyDescent="0.35">
      <c r="A36" s="7" t="str">
        <f t="shared" si="1"/>
        <v/>
      </c>
      <c r="B36" s="7"/>
      <c r="C36" s="8"/>
      <c r="D36" s="8"/>
      <c r="E36" s="7"/>
      <c r="F36" s="7"/>
      <c r="G36" s="7"/>
      <c r="H36" s="9"/>
      <c r="I36" s="11"/>
      <c r="J36" s="9"/>
    </row>
    <row r="37" spans="1:10" x14ac:dyDescent="0.35">
      <c r="A37" s="7" t="str">
        <f t="shared" si="1"/>
        <v/>
      </c>
      <c r="B37" s="7"/>
      <c r="C37" s="8"/>
      <c r="D37" s="8"/>
      <c r="E37" s="7"/>
      <c r="F37" s="7"/>
      <c r="G37" s="7"/>
      <c r="H37" s="9"/>
      <c r="I37" s="11"/>
      <c r="J37" s="9"/>
    </row>
    <row r="38" spans="1:10" x14ac:dyDescent="0.35">
      <c r="A38" s="7" t="str">
        <f t="shared" si="1"/>
        <v/>
      </c>
      <c r="B38" s="7"/>
      <c r="C38" s="8"/>
      <c r="D38" s="8"/>
      <c r="E38" s="7"/>
      <c r="F38" s="7"/>
      <c r="G38" s="7"/>
      <c r="H38" s="9"/>
      <c r="I38" s="11"/>
      <c r="J38" s="9"/>
    </row>
    <row r="39" spans="1:10" x14ac:dyDescent="0.35">
      <c r="A39" s="7" t="str">
        <f t="shared" si="1"/>
        <v/>
      </c>
      <c r="B39" s="7"/>
      <c r="C39" s="8"/>
      <c r="D39" s="8"/>
      <c r="E39" s="7"/>
      <c r="F39" s="7"/>
      <c r="G39" s="7"/>
      <c r="H39" s="9"/>
      <c r="I39" s="11"/>
      <c r="J39" s="9"/>
    </row>
    <row r="40" spans="1:10" x14ac:dyDescent="0.35">
      <c r="A40" s="7" t="str">
        <f t="shared" si="1"/>
        <v/>
      </c>
      <c r="B40" s="7"/>
      <c r="C40" s="8"/>
      <c r="D40" s="8"/>
      <c r="E40" s="7"/>
      <c r="F40" s="7"/>
      <c r="G40" s="7"/>
      <c r="H40" s="9"/>
      <c r="I40" s="11"/>
      <c r="J40" s="9"/>
    </row>
    <row r="41" spans="1:10" x14ac:dyDescent="0.35">
      <c r="A41" s="7" t="str">
        <f t="shared" si="1"/>
        <v/>
      </c>
      <c r="B41" s="7"/>
      <c r="C41" s="8"/>
      <c r="D41" s="8"/>
      <c r="E41" s="7"/>
      <c r="F41" s="7"/>
      <c r="G41" s="7"/>
      <c r="H41" s="9"/>
      <c r="I41" s="11"/>
      <c r="J41" s="9"/>
    </row>
    <row r="42" spans="1:10" x14ac:dyDescent="0.35">
      <c r="A42" s="7" t="str">
        <f t="shared" si="1"/>
        <v/>
      </c>
      <c r="B42" s="7"/>
      <c r="C42" s="8"/>
      <c r="D42" s="8"/>
      <c r="E42" s="7"/>
      <c r="F42" s="7"/>
      <c r="G42" s="7"/>
      <c r="H42" s="9"/>
      <c r="I42" s="11"/>
      <c r="J42" s="9"/>
    </row>
    <row r="43" spans="1:10" x14ac:dyDescent="0.35">
      <c r="A43" s="7" t="str">
        <f t="shared" si="1"/>
        <v/>
      </c>
      <c r="B43" s="7"/>
      <c r="C43" s="8"/>
      <c r="D43" s="8"/>
      <c r="E43" s="7"/>
      <c r="F43" s="7"/>
      <c r="G43" s="7"/>
      <c r="H43" s="9"/>
      <c r="I43" s="11"/>
      <c r="J43" s="9"/>
    </row>
    <row r="44" spans="1:10" x14ac:dyDescent="0.35">
      <c r="A44" s="7" t="str">
        <f t="shared" ref="A44:A72" si="2">IF(ISBLANK(B44),"",ROW()-1)</f>
        <v/>
      </c>
      <c r="B44" s="7"/>
      <c r="C44" s="8"/>
      <c r="D44" s="8"/>
      <c r="E44" s="7"/>
      <c r="F44" s="7"/>
      <c r="G44" s="7"/>
      <c r="H44" s="9"/>
      <c r="I44" s="11"/>
      <c r="J44" s="9"/>
    </row>
    <row r="45" spans="1:10" x14ac:dyDescent="0.35">
      <c r="A45" s="7" t="str">
        <f t="shared" si="2"/>
        <v/>
      </c>
      <c r="B45" s="7"/>
      <c r="C45" s="8"/>
      <c r="D45" s="8"/>
      <c r="E45" s="7"/>
      <c r="F45" s="7"/>
      <c r="G45" s="7"/>
      <c r="H45" s="9"/>
      <c r="I45" s="11"/>
      <c r="J45" s="9"/>
    </row>
    <row r="46" spans="1:10" x14ac:dyDescent="0.35">
      <c r="A46" s="7" t="str">
        <f t="shared" si="2"/>
        <v/>
      </c>
      <c r="B46" s="7"/>
      <c r="C46" s="8"/>
      <c r="D46" s="8"/>
      <c r="E46" s="7"/>
      <c r="F46" s="7"/>
      <c r="G46" s="7"/>
      <c r="H46" s="9"/>
      <c r="I46" s="11"/>
      <c r="J46" s="9"/>
    </row>
    <row r="47" spans="1:10" x14ac:dyDescent="0.35">
      <c r="A47" s="7" t="str">
        <f t="shared" si="2"/>
        <v/>
      </c>
      <c r="B47" s="7"/>
      <c r="C47" s="8"/>
      <c r="D47" s="8"/>
      <c r="E47" s="7"/>
      <c r="F47" s="7"/>
      <c r="G47" s="7"/>
      <c r="H47" s="9"/>
      <c r="I47" s="11"/>
      <c r="J47" s="9"/>
    </row>
    <row r="48" spans="1:10" x14ac:dyDescent="0.35">
      <c r="A48" s="7" t="str">
        <f t="shared" si="2"/>
        <v/>
      </c>
      <c r="B48" s="7"/>
      <c r="C48" s="8"/>
      <c r="D48" s="8"/>
      <c r="E48" s="7"/>
      <c r="F48" s="7"/>
      <c r="G48" s="7"/>
      <c r="H48" s="9"/>
      <c r="I48" s="11"/>
      <c r="J48" s="9"/>
    </row>
    <row r="49" spans="1:10" x14ac:dyDescent="0.35">
      <c r="A49" s="7" t="str">
        <f t="shared" si="2"/>
        <v/>
      </c>
      <c r="B49" s="7"/>
      <c r="C49" s="8"/>
      <c r="D49" s="8"/>
      <c r="E49" s="7"/>
      <c r="F49" s="7"/>
      <c r="G49" s="7"/>
      <c r="H49" s="9"/>
      <c r="I49" s="11"/>
      <c r="J49" s="9"/>
    </row>
    <row r="50" spans="1:10" x14ac:dyDescent="0.35">
      <c r="A50" s="7" t="str">
        <f t="shared" si="2"/>
        <v/>
      </c>
      <c r="B50" s="7"/>
      <c r="C50" s="8"/>
      <c r="D50" s="8"/>
      <c r="E50" s="7"/>
      <c r="F50" s="7"/>
      <c r="G50" s="7"/>
      <c r="H50" s="9"/>
      <c r="I50" s="11"/>
      <c r="J50" s="9"/>
    </row>
    <row r="51" spans="1:10" x14ac:dyDescent="0.35">
      <c r="A51" s="7" t="str">
        <f t="shared" si="2"/>
        <v/>
      </c>
      <c r="B51" s="7"/>
      <c r="C51" s="8"/>
      <c r="D51" s="8"/>
      <c r="E51" s="7"/>
      <c r="F51" s="7"/>
      <c r="G51" s="7"/>
      <c r="H51" s="9"/>
      <c r="I51" s="11"/>
      <c r="J51" s="9"/>
    </row>
    <row r="52" spans="1:10" x14ac:dyDescent="0.35">
      <c r="A52" s="7" t="str">
        <f t="shared" si="2"/>
        <v/>
      </c>
      <c r="B52" s="7"/>
      <c r="C52" s="8"/>
      <c r="D52" s="8"/>
      <c r="E52" s="7"/>
      <c r="F52" s="7"/>
      <c r="G52" s="7"/>
      <c r="H52" s="9"/>
      <c r="I52" s="13"/>
      <c r="J52" s="9"/>
    </row>
    <row r="53" spans="1:10" x14ac:dyDescent="0.35">
      <c r="A53" s="7" t="str">
        <f t="shared" si="2"/>
        <v/>
      </c>
      <c r="B53" s="7"/>
      <c r="C53" s="8"/>
      <c r="D53" s="8"/>
      <c r="E53" s="7"/>
      <c r="F53" s="7"/>
      <c r="G53" s="7"/>
      <c r="H53" s="9"/>
      <c r="I53" s="11"/>
      <c r="J53" s="9"/>
    </row>
    <row r="54" spans="1:10" x14ac:dyDescent="0.35">
      <c r="A54" s="7" t="str">
        <f t="shared" si="2"/>
        <v/>
      </c>
      <c r="B54" s="7"/>
      <c r="C54" s="8"/>
      <c r="D54" s="8"/>
      <c r="E54" s="7"/>
      <c r="F54" s="7"/>
      <c r="G54" s="7"/>
      <c r="H54" s="9"/>
      <c r="I54" s="11"/>
      <c r="J54" s="9"/>
    </row>
    <row r="55" spans="1:10" x14ac:dyDescent="0.35">
      <c r="A55" s="7" t="str">
        <f t="shared" si="2"/>
        <v/>
      </c>
      <c r="B55" s="7"/>
      <c r="C55" s="8"/>
      <c r="D55" s="8"/>
      <c r="E55" s="7"/>
      <c r="F55" s="7"/>
      <c r="G55" s="7"/>
      <c r="H55" s="9"/>
      <c r="I55" s="11"/>
      <c r="J55" s="9"/>
    </row>
    <row r="56" spans="1:10" x14ac:dyDescent="0.35">
      <c r="A56" s="7" t="str">
        <f t="shared" si="2"/>
        <v/>
      </c>
      <c r="B56" s="7"/>
      <c r="C56" s="8"/>
      <c r="D56" s="8"/>
      <c r="E56" s="7"/>
      <c r="F56" s="7"/>
      <c r="G56" s="7"/>
      <c r="H56" s="9"/>
      <c r="I56" s="11"/>
      <c r="J56" s="9"/>
    </row>
    <row r="57" spans="1:10" x14ac:dyDescent="0.35">
      <c r="A57" s="7" t="str">
        <f t="shared" si="2"/>
        <v/>
      </c>
      <c r="B57" s="7"/>
      <c r="C57" s="8"/>
      <c r="D57" s="8"/>
      <c r="E57" s="7"/>
      <c r="F57" s="7"/>
      <c r="G57" s="7"/>
      <c r="H57" s="9"/>
      <c r="I57" s="11"/>
      <c r="J57" s="9"/>
    </row>
    <row r="58" spans="1:10" x14ac:dyDescent="0.35">
      <c r="A58" s="7" t="str">
        <f t="shared" si="2"/>
        <v/>
      </c>
      <c r="B58" s="7"/>
      <c r="C58" s="8"/>
      <c r="D58" s="8"/>
      <c r="E58" s="7"/>
      <c r="F58" s="7"/>
      <c r="G58" s="7"/>
      <c r="H58" s="9"/>
      <c r="I58" s="13"/>
      <c r="J58" s="9"/>
    </row>
    <row r="59" spans="1:10" x14ac:dyDescent="0.35">
      <c r="A59" s="7" t="str">
        <f t="shared" si="2"/>
        <v/>
      </c>
      <c r="B59" s="7"/>
      <c r="C59" s="8"/>
      <c r="D59" s="8"/>
      <c r="E59" s="7"/>
      <c r="F59" s="7"/>
      <c r="G59" s="7"/>
      <c r="H59" s="9"/>
      <c r="I59" s="14"/>
      <c r="J59" s="9"/>
    </row>
    <row r="60" spans="1:10" x14ac:dyDescent="0.35">
      <c r="A60" s="7" t="str">
        <f t="shared" si="2"/>
        <v/>
      </c>
      <c r="B60" s="7"/>
      <c r="C60" s="8"/>
      <c r="D60" s="8"/>
      <c r="E60" s="7"/>
      <c r="F60" s="7"/>
      <c r="G60" s="7"/>
      <c r="H60" s="9"/>
      <c r="I60" s="13"/>
      <c r="J60" s="9"/>
    </row>
    <row r="61" spans="1:10" x14ac:dyDescent="0.35">
      <c r="A61" s="7" t="str">
        <f t="shared" si="2"/>
        <v/>
      </c>
      <c r="B61" s="7"/>
      <c r="C61" s="8"/>
      <c r="D61" s="8"/>
      <c r="E61" s="7"/>
      <c r="F61" s="7"/>
      <c r="G61" s="7"/>
      <c r="H61" s="9"/>
      <c r="I61" s="14"/>
      <c r="J61" s="9"/>
    </row>
    <row r="62" spans="1:10" x14ac:dyDescent="0.35">
      <c r="A62" s="7" t="str">
        <f t="shared" si="2"/>
        <v/>
      </c>
      <c r="B62" s="7"/>
      <c r="C62" s="8"/>
      <c r="D62" s="8"/>
      <c r="E62" s="7"/>
      <c r="F62" s="7"/>
      <c r="G62" s="7"/>
      <c r="H62" s="9"/>
      <c r="I62" s="15"/>
      <c r="J62" s="9"/>
    </row>
    <row r="63" spans="1:10" x14ac:dyDescent="0.35">
      <c r="A63" s="7" t="str">
        <f t="shared" si="2"/>
        <v/>
      </c>
      <c r="B63" s="7"/>
      <c r="C63" s="8"/>
      <c r="D63" s="8"/>
      <c r="E63" s="7"/>
      <c r="F63" s="7"/>
      <c r="G63" s="7"/>
      <c r="H63" s="9"/>
      <c r="I63" s="16"/>
      <c r="J63" s="9"/>
    </row>
    <row r="64" spans="1:10" x14ac:dyDescent="0.35">
      <c r="A64" s="7" t="str">
        <f t="shared" si="2"/>
        <v/>
      </c>
      <c r="B64" s="7"/>
      <c r="C64" s="8"/>
      <c r="D64" s="8"/>
      <c r="E64" s="7"/>
      <c r="F64" s="7"/>
      <c r="G64" s="7"/>
      <c r="H64" s="9"/>
      <c r="I64" s="16"/>
      <c r="J64" s="9"/>
    </row>
    <row r="65" spans="1:10" x14ac:dyDescent="0.35">
      <c r="A65" s="7" t="str">
        <f t="shared" si="2"/>
        <v/>
      </c>
      <c r="B65" s="7"/>
      <c r="C65" s="8"/>
      <c r="D65" s="8"/>
      <c r="E65" s="7"/>
      <c r="F65" s="7"/>
      <c r="G65" s="7"/>
      <c r="H65" s="9"/>
      <c r="I65" s="11"/>
      <c r="J65" s="9"/>
    </row>
    <row r="66" spans="1:10" x14ac:dyDescent="0.35">
      <c r="A66" s="7" t="str">
        <f t="shared" si="2"/>
        <v/>
      </c>
      <c r="B66" s="7"/>
      <c r="C66" s="8"/>
      <c r="D66" s="8"/>
      <c r="E66" s="7"/>
      <c r="F66" s="7"/>
      <c r="G66" s="7"/>
      <c r="H66" s="9"/>
      <c r="I66" s="17"/>
      <c r="J66" s="9"/>
    </row>
    <row r="67" spans="1:10" x14ac:dyDescent="0.35">
      <c r="A67" s="7" t="str">
        <f t="shared" si="2"/>
        <v/>
      </c>
      <c r="B67" s="7"/>
      <c r="C67" s="8"/>
      <c r="D67" s="8"/>
      <c r="E67" s="7"/>
      <c r="F67" s="7"/>
      <c r="G67" s="7"/>
      <c r="H67" s="9"/>
      <c r="I67" s="11"/>
      <c r="J67" s="9"/>
    </row>
    <row r="68" spans="1:10" x14ac:dyDescent="0.35">
      <c r="A68" s="7" t="str">
        <f t="shared" si="2"/>
        <v/>
      </c>
      <c r="B68" s="7"/>
      <c r="C68" s="8"/>
      <c r="D68" s="8"/>
      <c r="E68" s="7"/>
      <c r="F68" s="7"/>
      <c r="G68" s="7"/>
      <c r="H68" s="9"/>
      <c r="I68" s="13"/>
      <c r="J68" s="9"/>
    </row>
    <row r="69" spans="1:10" x14ac:dyDescent="0.35">
      <c r="A69" s="7" t="str">
        <f t="shared" si="2"/>
        <v/>
      </c>
      <c r="B69" s="7"/>
      <c r="C69" s="8"/>
      <c r="D69" s="8"/>
      <c r="E69" s="7"/>
      <c r="F69" s="7"/>
      <c r="G69" s="7"/>
      <c r="H69" s="9"/>
      <c r="I69" s="11"/>
      <c r="J69" s="9"/>
    </row>
    <row r="70" spans="1:10" x14ac:dyDescent="0.35">
      <c r="A70" s="7" t="str">
        <f t="shared" si="2"/>
        <v/>
      </c>
      <c r="B70" s="7"/>
      <c r="C70" s="8"/>
      <c r="D70" s="8"/>
      <c r="E70" s="7"/>
      <c r="F70" s="7"/>
      <c r="G70" s="7"/>
      <c r="H70" s="9"/>
      <c r="I70" s="13"/>
      <c r="J70" s="9"/>
    </row>
    <row r="71" spans="1:10" x14ac:dyDescent="0.35">
      <c r="A71" s="7" t="str">
        <f t="shared" si="2"/>
        <v/>
      </c>
      <c r="B71" s="7"/>
      <c r="C71" s="8"/>
      <c r="D71" s="8"/>
      <c r="E71" s="7"/>
      <c r="F71" s="7"/>
      <c r="G71" s="7"/>
      <c r="H71" s="9"/>
      <c r="I71" s="11"/>
      <c r="J71" s="9"/>
    </row>
    <row r="72" spans="1:10" x14ac:dyDescent="0.35">
      <c r="A72" s="7" t="str">
        <f t="shared" si="2"/>
        <v/>
      </c>
      <c r="B72" s="7"/>
      <c r="C72" s="8"/>
      <c r="D72" s="8"/>
      <c r="E72" s="7"/>
      <c r="F72" s="7"/>
      <c r="G72" s="7"/>
      <c r="H72" s="9"/>
      <c r="I72" s="11"/>
      <c r="J72" s="9"/>
    </row>
    <row r="73" spans="1:10" x14ac:dyDescent="0.35">
      <c r="A73" s="7" t="str">
        <f t="shared" ref="A73" si="3">IF(ISBLANK(B73),"",ROW()-1)</f>
        <v/>
      </c>
      <c r="B73" s="7"/>
      <c r="C73" s="8"/>
      <c r="D73" s="8"/>
      <c r="E73" s="7"/>
      <c r="F73" s="7"/>
      <c r="G73" s="7"/>
      <c r="H73" s="9"/>
      <c r="I73" s="11"/>
      <c r="J73" s="9"/>
    </row>
  </sheetData>
  <phoneticPr fontId="9"/>
  <dataValidations count="2">
    <dataValidation type="list" allowBlank="1" showInputMessage="1" showErrorMessage="1" sqref="E2:E73" xr:uid="{00000000-0002-0000-0000-000000000000}">
      <formula1>"A, B, C"</formula1>
    </dataValidation>
    <dataValidation type="list" allowBlank="1" showInputMessage="1" showErrorMessage="1" sqref="F2:F73" xr:uid="{00000000-0002-0000-0000-000001000000}">
      <formula1>"F, I"</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03E34-CB09-4FA9-A7CB-EB1AFEFF59C8}">
  <dimension ref="A1:K3"/>
  <sheetViews>
    <sheetView zoomScale="70" zoomScaleNormal="70" workbookViewId="0">
      <selection activeCell="D2" sqref="D2"/>
    </sheetView>
  </sheetViews>
  <sheetFormatPr defaultRowHeight="15" x14ac:dyDescent="0.35"/>
  <cols>
    <col min="4" max="4" width="31" customWidth="1"/>
    <col min="9" max="9" width="18" customWidth="1"/>
    <col min="11" max="11" width="45.140625" customWidth="1"/>
  </cols>
  <sheetData>
    <row r="1" spans="1:11" ht="28" x14ac:dyDescent="0.35">
      <c r="A1" s="4" t="s">
        <v>0</v>
      </c>
      <c r="B1" s="4" t="s">
        <v>1</v>
      </c>
      <c r="C1" s="5" t="s">
        <v>2</v>
      </c>
      <c r="D1" s="5" t="s">
        <v>3</v>
      </c>
      <c r="E1" s="6" t="s">
        <v>4</v>
      </c>
      <c r="F1" s="6" t="s">
        <v>5</v>
      </c>
      <c r="G1" s="4" t="s">
        <v>6</v>
      </c>
      <c r="H1" s="4" t="s">
        <v>7</v>
      </c>
      <c r="I1" s="10" t="s">
        <v>8</v>
      </c>
      <c r="J1" s="4" t="s">
        <v>7</v>
      </c>
      <c r="K1" s="4" t="s">
        <v>94</v>
      </c>
    </row>
    <row r="2" spans="1:11" ht="174" customHeight="1" x14ac:dyDescent="0.35">
      <c r="A2" s="26">
        <f t="shared" ref="A2:A3" si="0">IF(ISBLANK(B2),"",ROW()-1)</f>
        <v>1</v>
      </c>
      <c r="B2" s="26">
        <v>15</v>
      </c>
      <c r="C2" s="27" t="s">
        <v>43</v>
      </c>
      <c r="D2" s="27" t="s">
        <v>98</v>
      </c>
      <c r="E2" s="26" t="s">
        <v>11</v>
      </c>
      <c r="F2" s="26" t="s">
        <v>20</v>
      </c>
      <c r="G2" s="26" t="s">
        <v>29</v>
      </c>
      <c r="H2" s="28">
        <v>46112</v>
      </c>
      <c r="I2" s="23"/>
      <c r="J2" s="30"/>
      <c r="K2" s="30"/>
    </row>
    <row r="3" spans="1:11" ht="91.5" customHeight="1" x14ac:dyDescent="0.35">
      <c r="A3" s="31"/>
      <c r="B3" s="31"/>
      <c r="C3" s="32"/>
      <c r="D3" s="32"/>
      <c r="E3" s="31"/>
      <c r="F3" s="31"/>
      <c r="G3" s="31"/>
      <c r="H3" s="33"/>
      <c r="I3" s="34"/>
      <c r="J3" s="35"/>
      <c r="K3" s="35"/>
    </row>
  </sheetData>
  <dataValidations count="2">
    <dataValidation type="list" allowBlank="1" showInputMessage="1" showErrorMessage="1" sqref="F2:F3" xr:uid="{A079963F-6C21-47BD-BF46-1E0347D2B5F5}">
      <formula1>"F, I"</formula1>
    </dataValidation>
    <dataValidation type="list" allowBlank="1" showInputMessage="1" showErrorMessage="1" sqref="E2:E3" xr:uid="{1C36538F-BBC4-4697-917A-73E198896EC3}">
      <formula1>"A, B, C"</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6370d29-1381-44da-ac86-71d62ff19830">
      <Terms xmlns="http://schemas.microsoft.com/office/infopath/2007/PartnerControls"/>
    </lcf76f155ced4ddcb4097134ff3c332f>
    <TaxCatchAll xmlns="542fa799-3a6a-44ee-91d8-41e55fd610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37CF7A5C2F2564283709725F94A1B69" ma:contentTypeVersion="13" ma:contentTypeDescription="新しいドキュメントを作成します。" ma:contentTypeScope="" ma:versionID="52a83519eeae64446d004370cdfefcb6">
  <xsd:schema xmlns:xsd="http://www.w3.org/2001/XMLSchema" xmlns:xs="http://www.w3.org/2001/XMLSchema" xmlns:p="http://schemas.microsoft.com/office/2006/metadata/properties" xmlns:ns2="d6370d29-1381-44da-ac86-71d62ff19830" xmlns:ns3="542fa799-3a6a-44ee-91d8-41e55fd610c2" targetNamespace="http://schemas.microsoft.com/office/2006/metadata/properties" ma:root="true" ma:fieldsID="f0a4801b459899d4d9384096ec41d4cb" ns2:_="" ns3:_="">
    <xsd:import namespace="d6370d29-1381-44da-ac86-71d62ff19830"/>
    <xsd:import namespace="542fa799-3a6a-44ee-91d8-41e55fd610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370d29-1381-44da-ac86-71d62ff19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57a0c6ad-ee8b-40fb-82c2-5c02f3796a8f"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2fa799-3a6a-44ee-91d8-41e55fd610c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cfc77fd-f0c3-469f-8a59-0493dcede4a0}" ma:internalName="TaxCatchAll" ma:showField="CatchAllData" ma:web="542fa799-3a6a-44ee-91d8-41e55fd61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A80022-DDD9-4392-BFAC-6908A33161F5}">
  <ds:schemaRefs>
    <ds:schemaRef ds:uri="http://schemas.microsoft.com/office/2006/metadata/properties"/>
    <ds:schemaRef ds:uri="http://schemas.microsoft.com/office/infopath/2007/PartnerControls"/>
    <ds:schemaRef ds:uri="d6370d29-1381-44da-ac86-71d62ff19830"/>
    <ds:schemaRef ds:uri="542fa799-3a6a-44ee-91d8-41e55fd610c2"/>
  </ds:schemaRefs>
</ds:datastoreItem>
</file>

<file path=customXml/itemProps2.xml><?xml version="1.0" encoding="utf-8"?>
<ds:datastoreItem xmlns:ds="http://schemas.openxmlformats.org/officeDocument/2006/customXml" ds:itemID="{96CA4BBD-1289-444A-82CC-7BBD4BE61C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370d29-1381-44da-ac86-71d62ff19830"/>
    <ds:schemaRef ds:uri="542fa799-3a6a-44ee-91d8-41e55fd610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AB52BF-5C3F-4E32-B1C7-8176B1AD72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query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Matsunaga Toshihiro</dc:creator>
  <cp:keywords/>
  <dc:description/>
  <cp:lastModifiedBy>Admin</cp:lastModifiedBy>
  <cp:revision/>
  <dcterms:created xsi:type="dcterms:W3CDTF">2025-11-19T00:11:00Z</dcterms:created>
  <dcterms:modified xsi:type="dcterms:W3CDTF">2026-04-08T04:53:15Z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FD2CD2C4E7C1414B9C827D95B31D9A5A_13</vt:lpwstr>
  </property>
  <property fmtid="{D5CDD505-2E9C-101B-9397-08002B2CF9AE}" pid="3" name="KSOProductBuildVer">
    <vt:lpwstr>1033-12.2.0.23196</vt:lpwstr>
  </property>
  <property fmtid="{D5CDD505-2E9C-101B-9397-08002B2CF9AE}" pid="4" name="MSIP_Label_1ab519c6-9f13-416b-ad6c-a79673c31c3f_Enabled">
    <vt:lpwstr>true</vt:lpwstr>
  </property>
  <property fmtid="{D5CDD505-2E9C-101B-9397-08002B2CF9AE}" pid="5" name="MSIP_Label_1ab519c6-9f13-416b-ad6c-a79673c31c3f_SetDate">
    <vt:lpwstr>2025-11-27T11:51:38Z</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iteId">
    <vt:lpwstr>edf442f5-b994-4c86-a131-b42b03a16c95</vt:lpwstr>
  </property>
  <property fmtid="{D5CDD505-2E9C-101B-9397-08002B2CF9AE}" pid="9" name="MSIP_Label_1ab519c6-9f13-416b-ad6c-a79673c31c3f_ActionId">
    <vt:lpwstr>6a51efef-f80a-46a8-8ba6-d36e3b17e705</vt:lpwstr>
  </property>
  <property fmtid="{D5CDD505-2E9C-101B-9397-08002B2CF9AE}" pid="10" name="MSIP_Label_1ab519c6-9f13-416b-ad6c-a79673c31c3f_ContentBits">
    <vt:lpwstr>0</vt:lpwstr>
  </property>
  <property fmtid="{D5CDD505-2E9C-101B-9397-08002B2CF9AE}" pid="11" name="MSIP_Label_1ab519c6-9f13-416b-ad6c-a79673c31c3f_Tag">
    <vt:lpwstr>10, 0, 1, 1</vt:lpwstr>
  </property>
  <property fmtid="{D5CDD505-2E9C-101B-9397-08002B2CF9AE}" pid="12" name="ContentTypeId">
    <vt:lpwstr>0x010100837CF7A5C2F2564283709725F94A1B69</vt:lpwstr>
  </property>
  <property fmtid="{D5CDD505-2E9C-101B-9397-08002B2CF9AE}" pid="13" name="MediaServiceImageTags">
    <vt:lpwstr/>
  </property>
</Properties>
</file>