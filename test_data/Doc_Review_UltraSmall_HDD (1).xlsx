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02"/>
  <workbookPr/>
  <mc:AlternateContent xmlns:mc="http://schemas.openxmlformats.org/markup-compatibility/2006">
    <mc:Choice Requires="x15">
      <x15ac:absPath xmlns:x15ac="http://schemas.microsoft.com/office/spreadsheetml/2010/11/ac" url="https://sctmeng.sharepoint.com/sites/TICOODC/Shared Documents/400_TechM_SCTM_internal/010_Ultra Small/Phase4_Proto2_Deliverables/Hardware Design Document/Updated-HDD-27thMarch2026/"/>
    </mc:Choice>
  </mc:AlternateContent>
  <xr:revisionPtr revIDLastSave="0" documentId="8_{CE79992F-F87A-41C0-B17D-4A72E9BC9585}" xr6:coauthVersionLast="47" xr6:coauthVersionMax="47" xr10:uidLastSave="{00000000-0000-0000-0000-000000000000}"/>
  <bookViews>
    <workbookView xWindow="43095" yWindow="0" windowWidth="14610" windowHeight="1558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5" i="1" l="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4" i="1"/>
  <c r="A73" i="1"/>
  <c r="A14" i="1"/>
  <c r="A10" i="1"/>
  <c r="A8" i="1"/>
  <c r="A9" i="1"/>
  <c r="A7" i="1"/>
  <c r="A72" i="1" l="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3" i="1"/>
  <c r="A12" i="1"/>
  <c r="A11" i="1"/>
  <c r="A6" i="1"/>
  <c r="A5" i="1"/>
  <c r="A4" i="1"/>
  <c r="A3" i="1"/>
  <c r="A2" i="1"/>
</calcChain>
</file>

<file path=xl/sharedStrings.xml><?xml version="1.0" encoding="utf-8"?>
<sst xmlns="http://schemas.openxmlformats.org/spreadsheetml/2006/main" count="361" uniqueCount="158">
  <si>
    <t>No</t>
  </si>
  <si>
    <t>Page</t>
  </si>
  <si>
    <t>Item</t>
  </si>
  <si>
    <t>Comments</t>
  </si>
  <si>
    <t>Rank</t>
  </si>
  <si>
    <t>Cat</t>
  </si>
  <si>
    <t>By</t>
  </si>
  <si>
    <t>Date</t>
  </si>
  <si>
    <t>TechM Response</t>
  </si>
  <si>
    <t>Figure 72</t>
  </si>
  <si>
    <t>"Figure 72 Pinoutput..." may be "Figure 72 Pinout..."</t>
  </si>
  <si>
    <t>B</t>
  </si>
  <si>
    <t>I</t>
  </si>
  <si>
    <t>Mats</t>
  </si>
  <si>
    <t>Updated</t>
  </si>
  <si>
    <t>first paragraph</t>
  </si>
  <si>
    <t>"bring" -&gt; "brings"</t>
  </si>
  <si>
    <t>C</t>
  </si>
  <si>
    <t>Scope and Purpose</t>
  </si>
  <si>
    <t>What is the criteria for picking up devices and circuits to ?  
It says "This document provides information regarding all the IC chips that we intend to use in this design." but, for example, there is "AP63205QWU-7" BUCK 5V 2A or "AMC1311BQDWVQ1" in E-BOM but not found in the document.
If this document shows selected ICs, then it will be better to explain with what standard this document choose them.</t>
  </si>
  <si>
    <t>F</t>
  </si>
  <si>
    <t>Only critical IC's are take for Ulra small HDD</t>
  </si>
  <si>
    <t>Chap 6~32</t>
  </si>
  <si>
    <t>What is the order of the chapters?</t>
  </si>
  <si>
    <t>There is no such a order we have taken as a information was available for IC groups.</t>
  </si>
  <si>
    <t>-</t>
  </si>
  <si>
    <t>What is the rule for number of digit in this document?</t>
  </si>
  <si>
    <t>Same rules as that of ACC and Ultrasmall WCCA</t>
  </si>
  <si>
    <t>Scope and Purpose</t>
    <phoneticPr fontId="9"/>
  </si>
  <si>
    <t>Expectation to "Hardware Design Document" will be description of design concept for the details of hardware, rather than "information regarding all the IC chips that we intended to use in this design".  Hardware (system) design from requirement to block diagram and key component selection was done at concept design (phase 1~2); this document will provide "information and design consideration for each key components based on concept design"  (The structure and concept of this document shows them).
If you only mention "information regarding all the IC chips", it looks like aggregation of data sheet (without usage consideration / design).</t>
    <phoneticPr fontId="9"/>
  </si>
  <si>
    <t>Mats</t>
    <phoneticPr fontId="9"/>
  </si>
  <si>
    <t>It still says "information regarding all the IC chips that we intended to use in this design" while this document shows "selected" devices.  Need to mention about it.  (Same as #3)</t>
    <phoneticPr fontId="9"/>
  </si>
  <si>
    <t>List of pending items</t>
    <phoneticPr fontId="9"/>
  </si>
  <si>
    <t>Do we have any change plan for phase 5 to be listed here?  
- Changing OBC transformer winding ratio?
- Changing Custom inductor for with Litz wire with Kool Mu core?
- Any change related to EMC/EMI evaluation?</t>
    <phoneticPr fontId="9"/>
  </si>
  <si>
    <t>Grouping of the chapters</t>
    <phoneticPr fontId="9"/>
  </si>
  <si>
    <t>Chapter 33 is "3V3 DC-DC Regulator", not Abbreviations.</t>
    <phoneticPr fontId="9"/>
  </si>
  <si>
    <t>A</t>
  </si>
  <si>
    <t>Reference document</t>
    <phoneticPr fontId="9"/>
  </si>
  <si>
    <t>I think HDD will refer to concept design documents like "Ultrasmall Block Diagram" or "TICO_Ultra-Small_2in1_Concept-Dev" for system design and component selection.  (Requirement -&gt; concept design -&gt; HDD)
SRS comes after concept design but component selection are in concept design.</t>
    <phoneticPr fontId="9"/>
  </si>
  <si>
    <t xml:space="preserve">Will it be better to have relationship among documents (Which referes which) and role of each document to clarify what each document describes.
- Requirement specifications from TICO
- Concept design report
- Ultrasmall_SRS_V01_18Apr25_Traceability                
- Circuit Schematics
- Circuit Simulations, Thermal Simulation WCCA
- Electrical BOM 
- Mechanical BOM
- Circuit Simulations, Thermal Simulation WCCA
- PCB Layout Design
- Hardware Design Document
- Circuit Simulations, Thermal Simulation WCCA
- Interface and Integration Specifications
- DFMEA, DFM, DFA
</t>
    <phoneticPr fontId="9"/>
  </si>
  <si>
    <t>"Summary Detail Design Report Ultrasmall" for "abbreviation and unit table" is now in this document.</t>
    <phoneticPr fontId="9"/>
  </si>
  <si>
    <t>"Ultrasmall_SRS_V01_Traceability.xlsx" (Version 0.1 dated 27-June-2025" doesn't exist in TICO BOX nor elsewhere.
Dated 18 Apr 2025" was shared as WSR material on 22 Apr .</t>
    <phoneticPr fontId="9"/>
  </si>
  <si>
    <t>Revision history</t>
    <phoneticPr fontId="9"/>
  </si>
  <si>
    <t>Inconsistency in date expression.
 13-Jun-2025  /  10-Jul-25</t>
    <phoneticPr fontId="9"/>
  </si>
  <si>
    <t>Table 1</t>
    <phoneticPr fontId="9"/>
  </si>
  <si>
    <t>Did surge Voltage has changed from 2500V?
In Ultra-small-2in1_Status_26Jan26.xlsx also says 2500V.
https://tico-group.box.com/s/y1wuunnrlkb23wd6n4ap8pqvpglqv3y7</t>
    <phoneticPr fontId="9"/>
  </si>
  <si>
    <t>Figure 2</t>
    <phoneticPr fontId="9"/>
  </si>
  <si>
    <t>It shows "Driver PCB", "Power PCB", "Control PCB" and "DC Link Cap PCB".  What are the relations with schematic design which has "Control PCB", DC Link Capacitor 01 PCB", "DC Link Capacitor 02 PCB", "Driver PCB", "PFC Driver Power Supply PCB", "Power PCB"?  "PFC Driver Power Supply PCB" seem to be missing.
The name can be "xxx block" rather than "xxx PCB" to avoid confusion.</t>
    <phoneticPr fontId="9"/>
  </si>
  <si>
    <t>Why "HV O/P Conn" only in white which is not defined in the coloring legend?</t>
    <phoneticPr fontId="9"/>
  </si>
  <si>
    <t>Figure 3</t>
    <phoneticPr fontId="9"/>
  </si>
  <si>
    <t xml:space="preserve">What are the red dotted lines and red bullets highlighted?  May need description on it </t>
    <phoneticPr fontId="9"/>
  </si>
  <si>
    <t>Key component selection</t>
    <phoneticPr fontId="9"/>
  </si>
  <si>
    <t>It says "Components are selected based on System level requirements and architecture definition."  In which document the architecture is defined?  I suppose it will be in concept design report and architecture is defined as "topology".</t>
    <phoneticPr fontId="9"/>
  </si>
  <si>
    <t>Table 2</t>
    <phoneticPr fontId="9"/>
  </si>
  <si>
    <t>Are the Part Numbers correct?  Though they are "key component", I couldn't find, for example, "PL082X-61-10""ACS725LMATR-20AB-T" and some other connectors in Final Electrical BOM.
Please check all listed devices agree with BOM</t>
    <phoneticPr fontId="9"/>
  </si>
  <si>
    <t>Table 4</t>
    <phoneticPr fontId="9"/>
  </si>
  <si>
    <t>ditto.  For example, Connector AC Input, AC Output, HVDC Output, LVDC Output cannot be found in Final Electrical BOM.
Please check all listed connectors agree with BOM</t>
    <phoneticPr fontId="9"/>
  </si>
  <si>
    <t>The order of components in table 2 is different from the order of chapters (descriptions) of the components.  Why?</t>
    <phoneticPr fontId="9"/>
  </si>
  <si>
    <t>20-21</t>
    <phoneticPr fontId="9"/>
  </si>
  <si>
    <t>Table 5</t>
    <phoneticPr fontId="9"/>
  </si>
  <si>
    <t>Electrical specifications uses different number of digit after decimal which is listed in data sheet.
chrome-extension://efaidnbmnnnibpcajpcglclefindmkaj/https://www.infineon.com/assets/row/public/documents/24/49/infineon-1edb7275f-datasheet-en.pdf
e.g. VDDO quiescent current Max in data sheet shows "1.0" where HDD writes "1".  Thinking about significant digit to calculate parameters, this type of information needs to match with the original document.
If the datasheet we refer shows different digit, it will be better to mention all source information like URL of the datasheet.</t>
    <phoneticPr fontId="9"/>
  </si>
  <si>
    <t>Do we need to note isoration resistance input-output with thermal condition like data sheet?</t>
    <phoneticPr fontId="9"/>
  </si>
  <si>
    <t>Do we need to note isoration capacitance was at 1MHz?
And what is Isolation capacitance?</t>
    <phoneticPr fontId="9"/>
  </si>
  <si>
    <t>Table 7</t>
    <phoneticPr fontId="9"/>
  </si>
  <si>
    <t>What is the difference from Table 7?  Looks dupication.</t>
    <phoneticPr fontId="9"/>
  </si>
  <si>
    <t>Table 8</t>
    <phoneticPr fontId="9"/>
  </si>
  <si>
    <t xml:space="preserve">(Schematics and BOM)
Maybe I'm wrong to check this (since I'm don't have much electrical engineering background), but I tried to find Pull down resister value used in PCB, but, in schematics (PFC GaN Driver for S1S4), pull down resister seems to be R3530 and it is DNP (so not specifed in BOM).  Where those pull down resister exist? </t>
    <phoneticPr fontId="9"/>
  </si>
  <si>
    <t>25, 27</t>
    <phoneticPr fontId="9"/>
  </si>
  <si>
    <t>6.10 &amp; 6.11</t>
    <phoneticPr fontId="9"/>
  </si>
  <si>
    <t>"6.10 Selection of Gate Resistance for PFC GaN Driver"
"6.11	Selection of OBC Primary GaN Driver"
The contents seems identical but the titles of the section are different.  Is the note "Gate Resistance" not necessary in 6.10?</t>
    <phoneticPr fontId="9"/>
  </si>
  <si>
    <t>(Schematics)</t>
    <phoneticPr fontId="9"/>
  </si>
  <si>
    <t>The latest HDD has different chapter structure so the reference in schematics seems shifted.  But the reference clearly shows version number of the HDD so that it will be okay.  
Please be careful on the next update.
It will be good to keep the information in pending items (for schematics or HDD).</t>
    <phoneticPr fontId="9"/>
  </si>
  <si>
    <t>Table 14</t>
    <phoneticPr fontId="9"/>
  </si>
  <si>
    <t>Do we need to note the conditions for Peak Source Current, like described in the data sheet?
chrome-extension://efaidnbmnnnibpcajpcglclefindmkaj/https://www.allegromicro.com/-/media/files/datasheets/ahv85111-datasheet.pdf?sc_lang=ja-jp
Like VSEC = 5.4V, Rext_pu=0Ω, ...</t>
    <phoneticPr fontId="9"/>
  </si>
  <si>
    <t>In the datasheet, there are description on "output Pull-Up" and "output Pull-down" resisters; are these RIPU/RIPD reffers to them?  Please also be careful about the number of digit after decimal.</t>
    <phoneticPr fontId="9"/>
  </si>
  <si>
    <t>Table 18</t>
    <phoneticPr fontId="9"/>
  </si>
  <si>
    <r>
      <t xml:space="preserve">Same feedback as above #23
chrome-extension://efaidnbmnnnibpcajpcglclefindmkaj/https://www.infineon.com/assets/row/public/documents/24/49/infineon-2edb7259k-datasheet-en.pdf
</t>
    </r>
    <r>
      <rPr>
        <b/>
        <sz val="11"/>
        <rFont val="Meiryo UI"/>
        <family val="3"/>
        <charset val="128"/>
      </rPr>
      <t>Let me skip this check here after.</t>
    </r>
    <phoneticPr fontId="9"/>
  </si>
  <si>
    <t>39,40</t>
    <phoneticPr fontId="9"/>
  </si>
  <si>
    <t>Table 19, Table 20</t>
    <phoneticPr fontId="9"/>
  </si>
  <si>
    <r>
      <t xml:space="preserve">Looks like duplication
</t>
    </r>
    <r>
      <rPr>
        <b/>
        <sz val="11"/>
        <rFont val="Meiryo UI"/>
        <family val="3"/>
        <charset val="128"/>
      </rPr>
      <t>Let me skip this check here after.</t>
    </r>
    <phoneticPr fontId="9"/>
  </si>
  <si>
    <t>Table 21</t>
    <phoneticPr fontId="9"/>
  </si>
  <si>
    <t>Same as #27.  I couldn't find pull-up/pull-down in schematics.  Maybe I'm wrong.</t>
    <phoneticPr fontId="9"/>
  </si>
  <si>
    <t>Table 22</t>
    <phoneticPr fontId="9"/>
  </si>
  <si>
    <t xml:space="preserve">Though the logic is the same as data sheet, it looks different in table 22 and Figure 26 where INA and INB are H.
</t>
    <phoneticPr fontId="9"/>
  </si>
  <si>
    <t>8.9.7</t>
    <phoneticPr fontId="9"/>
  </si>
  <si>
    <t>It says "recovery from communication fails"; communication between what to what?</t>
    <phoneticPr fontId="9"/>
  </si>
  <si>
    <t>43, 44</t>
    <phoneticPr fontId="9"/>
  </si>
  <si>
    <t>Figure 27, 28</t>
    <phoneticPr fontId="9"/>
  </si>
  <si>
    <t>Are these graphs ("Typical IVDDA/B switchng current vs frequency" &amp; "Graph for typical gate charge") related to 8.9.7 "CT communication and input to output data transmission?</t>
    <phoneticPr fontId="9"/>
  </si>
  <si>
    <t>-</t>
    <phoneticPr fontId="9"/>
  </si>
  <si>
    <t>(Chapter name)</t>
    <phoneticPr fontId="9"/>
  </si>
  <si>
    <t>Some chapter's name has parts name (like "8. PFC SiC, DCDC Primary and Secondary Gate Driver (2EDB7259K)") but the others are not (like "9. Primary side Isolated DC-DC Module"). 
What is the reason of the difference?</t>
    <phoneticPr fontId="9"/>
  </si>
  <si>
    <t>Table 30</t>
    <phoneticPr fontId="9"/>
  </si>
  <si>
    <t>Inconsistency on expression.  GNDP listed all pin # from 8 to 18 while VEE notes 19-27.  Better use same notation.</t>
    <phoneticPr fontId="9"/>
  </si>
  <si>
    <t>Table 30 &amp; 31</t>
    <phoneticPr fontId="9"/>
  </si>
  <si>
    <t>These tables are seems to be one same table.  (in data sheet).
chrome-extension://efaidnbmnnnibpcajpcglclefindmkaj/https://www.ti.com/jp/lit/ds/symlink/ucc14141-q1.pdf?ts=1775013892348&amp;ref_url=https%253A%252F%252Fwww.ti.com%252Fproduct%252Fja-jp%252FUCC14141-Q1%253Futm_source%253Dgoogle%2526utm_medium%253Dcpc%2526utm_campaign%253Dapp-psil-null-44700045336317878_prodfolderdynamic-cpc-pf-google-jp_jp_int%2526utm_content%253Dprodfolddynamic%2526ds_k%253DDYNAMIC+SEARCH+ADS%2526DCM%253Dyes%2526gclsrc%253Daw.ds%2526gad_source%253D1%2526gad_campaignid%253D12187629575%2526gbraid%253D0AAAAAC068F3zuJpU7P5SheP6HFps86vyU%2526gclid%253DCj0KCQjw4a3OBhCHARIsAChaqJPuuM7gbThO_8URjHcwtzff017wgsrH4XZDwXddFcKMjfBbNXSoWJYaAshyEALw_wcB</t>
    <phoneticPr fontId="9"/>
  </si>
  <si>
    <t>Table 33</t>
    <phoneticPr fontId="9"/>
  </si>
  <si>
    <t>Min value of VIN shows as "8(1)".  What "(1)" mean?
(It seems to be copy and paste from data sheet).</t>
    <phoneticPr fontId="9"/>
  </si>
  <si>
    <t>What VDD-VEE mean?
(In datasheet, it says "See the (VDD-VEE) and (COM-VEE) Load Recommended Operating Area section for maximum rated values across temperature and VVIN conditions for different (VDD-VEE) and (COM-VEE) output voltage settings.".  It seems we need to choose the value with our operation specification.)</t>
    <phoneticPr fontId="9"/>
  </si>
  <si>
    <t>Table 35</t>
    <phoneticPr fontId="9"/>
  </si>
  <si>
    <t>It will be easier for the reader to locate where CIN, COUT1, VIN, VDD are described (Fig. 32).</t>
    <phoneticPr fontId="9"/>
  </si>
  <si>
    <t>What is the value for VIN and VDD?  What is "6, 7 | P"?  
Table cell seems to be corrupted.</t>
    <phoneticPr fontId="9"/>
  </si>
  <si>
    <t>Table 35 and note</t>
    <phoneticPr fontId="9"/>
  </si>
  <si>
    <t>The note below table 35 is better to be bring in the NOTES of each CIN/COUT.</t>
    <phoneticPr fontId="9"/>
  </si>
  <si>
    <t>9.9.2</t>
    <phoneticPr fontId="9"/>
  </si>
  <si>
    <t>"COUTB1" shall be "COUT1B" looking at Fig. 32</t>
    <phoneticPr fontId="9"/>
  </si>
  <si>
    <t>It says "The required C OUT2 and COUT3 capacitance can be reduced by introducing a COUT1B capacitor"
What is the result of hardware design?  Reduced?  Kept?  As HDD, that decision might be required to note here.</t>
    <phoneticPr fontId="9"/>
  </si>
  <si>
    <r>
      <t xml:space="preserve">Subscript indication is shown as "C&lt;sub&gt;OUT1B&lt;/sub&gt;",  Correct them to subscript.
</t>
    </r>
    <r>
      <rPr>
        <b/>
        <sz val="11"/>
        <rFont val="Meiryo UI"/>
        <family val="3"/>
        <charset val="128"/>
      </rPr>
      <t>Same errors are observed following pages.  Correct them.</t>
    </r>
    <phoneticPr fontId="9"/>
  </si>
  <si>
    <t>51-61</t>
    <phoneticPr fontId="9"/>
  </si>
  <si>
    <t>(Subscript)</t>
    <phoneticPr fontId="9"/>
  </si>
  <si>
    <r>
      <t>Inconsistency in port name.  For example, CIN/C</t>
    </r>
    <r>
      <rPr>
        <vertAlign val="subscript"/>
        <sz val="11"/>
        <rFont val="Meiryo UI"/>
        <family val="3"/>
        <charset val="128"/>
      </rPr>
      <t>IN</t>
    </r>
    <r>
      <rPr>
        <sz val="11"/>
        <rFont val="Meiryo UI"/>
        <family val="2"/>
      </rPr>
      <t>., COUT1B/C</t>
    </r>
    <r>
      <rPr>
        <vertAlign val="subscript"/>
        <sz val="11"/>
        <rFont val="Meiryo UI"/>
        <family val="3"/>
        <charset val="128"/>
      </rPr>
      <t xml:space="preserve">OUT1B.  </t>
    </r>
    <r>
      <rPr>
        <sz val="11"/>
        <rFont val="Meiryo UI"/>
        <family val="2"/>
      </rPr>
      <t>Be careful about VIN and V</t>
    </r>
    <r>
      <rPr>
        <vertAlign val="subscript"/>
        <sz val="11"/>
        <rFont val="Meiryo UI"/>
        <family val="3"/>
        <charset val="128"/>
      </rPr>
      <t>IN</t>
    </r>
    <r>
      <rPr>
        <sz val="11"/>
        <rFont val="Meiryo UI"/>
        <family val="2"/>
      </rPr>
      <t xml:space="preserve"> are different location.
(Data sheet looks like mixing them, though)</t>
    </r>
    <phoneticPr fontId="9"/>
  </si>
  <si>
    <t>55-</t>
    <phoneticPr fontId="9"/>
  </si>
  <si>
    <t>Figure 9-4,...</t>
    <phoneticPr fontId="9"/>
  </si>
  <si>
    <t>Where is Figure 9-4, Figure 9-5?  Do you ask reader to download data sheet?</t>
    <phoneticPr fontId="9"/>
  </si>
  <si>
    <t>COUT*3</t>
    <phoneticPr fontId="9"/>
  </si>
  <si>
    <t>What is COUT*1, COUT*3?</t>
    <phoneticPr fontId="9"/>
  </si>
  <si>
    <t>COUT18</t>
    <phoneticPr fontId="9"/>
  </si>
  <si>
    <t>What is COUT18?</t>
    <phoneticPr fontId="9"/>
  </si>
  <si>
    <t>RIM</t>
    <phoneticPr fontId="9"/>
  </si>
  <si>
    <r>
      <t>What is RIM?  Not R</t>
    </r>
    <r>
      <rPr>
        <vertAlign val="subscript"/>
        <sz val="11"/>
        <rFont val="Meiryo UI"/>
        <family val="3"/>
        <charset val="128"/>
      </rPr>
      <t>LIM</t>
    </r>
    <r>
      <rPr>
        <sz val="11"/>
        <rFont val="Meiryo UI"/>
        <family val="2"/>
      </rPr>
      <t>?</t>
    </r>
    <phoneticPr fontId="9"/>
  </si>
  <si>
    <t>RIM calculation</t>
    <phoneticPr fontId="9"/>
  </si>
  <si>
    <t>It says "The final capacitor values will be used to calculate RIM, as described in the next section.".  It is better to point out as "9.3.3" for clarity.</t>
    <phoneticPr fontId="9"/>
  </si>
  <si>
    <t>Figure 38</t>
    <phoneticPr fontId="9"/>
  </si>
  <si>
    <r>
      <t>It suddenly appears without explanation nor reference from test.  What is the relation to the discussion nearby?  Looks like continuation of C</t>
    </r>
    <r>
      <rPr>
        <vertAlign val="subscript"/>
        <sz val="11"/>
        <rFont val="Meiryo UI"/>
        <family val="3"/>
        <charset val="128"/>
      </rPr>
      <t xml:space="preserve">OUTx </t>
    </r>
    <r>
      <rPr>
        <sz val="11"/>
        <rFont val="Meiryo UI"/>
        <family val="3"/>
        <charset val="128"/>
      </rPr>
      <t>calculation...</t>
    </r>
    <phoneticPr fontId="9"/>
  </si>
  <si>
    <t>Equation 7, 8, 3</t>
    <phoneticPr fontId="9"/>
  </si>
  <si>
    <t>Where is Equation 7, Equation 8, Equation 3?
It looks like dead-copy of data sheet without copying equation number.</t>
    <phoneticPr fontId="9"/>
  </si>
  <si>
    <t>(Conclusion of the calculation)</t>
    <phoneticPr fontId="9"/>
  </si>
  <si>
    <r>
      <t>What is the relationship between the calculation for C</t>
    </r>
    <r>
      <rPr>
        <vertAlign val="subscript"/>
        <sz val="11"/>
        <rFont val="Meiryo UI"/>
        <family val="3"/>
        <charset val="128"/>
      </rPr>
      <t>OUT1B</t>
    </r>
    <r>
      <rPr>
        <sz val="11"/>
        <rFont val="Meiryo UI"/>
        <family val="2"/>
      </rPr>
      <t>, C</t>
    </r>
    <r>
      <rPr>
        <vertAlign val="subscript"/>
        <sz val="11"/>
        <rFont val="Meiryo UI"/>
        <family val="3"/>
        <charset val="128"/>
      </rPr>
      <t>OUT2</t>
    </r>
    <r>
      <rPr>
        <sz val="11"/>
        <rFont val="Meiryo UI"/>
        <family val="2"/>
      </rPr>
      <t>, C</t>
    </r>
    <r>
      <rPr>
        <vertAlign val="subscript"/>
        <sz val="11"/>
        <rFont val="Meiryo UI"/>
        <family val="3"/>
        <charset val="128"/>
      </rPr>
      <t>OUT3</t>
    </r>
    <r>
      <rPr>
        <sz val="11"/>
        <rFont val="Meiryo UI"/>
        <family val="2"/>
      </rPr>
      <t xml:space="preserve"> at the bottom of p57 and final values used for?
If just use Figure 40 to decide the value, then previous equations are less important.</t>
    </r>
    <phoneticPr fontId="9"/>
  </si>
  <si>
    <t>9.9.3</t>
    <phoneticPr fontId="9"/>
  </si>
  <si>
    <r>
      <t>This section is very difficult to understand as if it skipps intermittent discussion.  p59 starts from "would not change"  What would not change?
Where R</t>
    </r>
    <r>
      <rPr>
        <vertAlign val="subscript"/>
        <sz val="11"/>
        <rFont val="Meiryo UI"/>
        <family val="3"/>
        <charset val="128"/>
      </rPr>
      <t>LIM_MAX_L2</t>
    </r>
    <r>
      <rPr>
        <sz val="11"/>
        <rFont val="Meiryo UI"/>
        <family val="2"/>
      </rPr>
      <t xml:space="preserve"> comes (how it was calculated?) and so on.</t>
    </r>
    <phoneticPr fontId="9"/>
  </si>
  <si>
    <t>9.9.4</t>
    <phoneticPr fontId="9"/>
  </si>
  <si>
    <r>
      <t>How was R</t>
    </r>
    <r>
      <rPr>
        <vertAlign val="subscript"/>
        <sz val="11"/>
        <rFont val="Meiryo UI"/>
        <family val="3"/>
        <charset val="128"/>
      </rPr>
      <t>FBVDD_TOP</t>
    </r>
    <r>
      <rPr>
        <sz val="11"/>
        <rFont val="Meiryo UI"/>
        <family val="2"/>
      </rPr>
      <t xml:space="preserve"> calculated?  It looks like suddenly appeard as 88.70kΩ.  Same in p60 R</t>
    </r>
    <r>
      <rPr>
        <vertAlign val="subscript"/>
        <sz val="11"/>
        <rFont val="Meiryo UI"/>
        <family val="3"/>
        <charset val="128"/>
      </rPr>
      <t>FBVEE_TOP</t>
    </r>
    <phoneticPr fontId="9"/>
  </si>
  <si>
    <r>
      <t xml:space="preserve">It refers Figure 45 but there is no RFBVDD_TOP or RFBDD_BOT.  It might be Figure 43.
</t>
    </r>
    <r>
      <rPr>
        <b/>
        <sz val="11"/>
        <rFont val="Meiryo UI"/>
        <family val="3"/>
        <charset val="128"/>
      </rPr>
      <t>Check all figure and table reference again to confirm they are correctlry pointing out intended figure/table.</t>
    </r>
    <phoneticPr fontId="9"/>
  </si>
  <si>
    <t>10</t>
    <phoneticPr fontId="9"/>
  </si>
  <si>
    <t>LTM8057EYPBF seems to be not appearing in table 2.</t>
    <phoneticPr fontId="9"/>
  </si>
  <si>
    <t>Table 37</t>
    <phoneticPr fontId="9"/>
  </si>
  <si>
    <r>
      <t>Better to use superscript (VOUT1</t>
    </r>
    <r>
      <rPr>
        <vertAlign val="superscript"/>
        <sz val="11"/>
        <rFont val="Meiryo UI"/>
        <family val="3"/>
        <charset val="128"/>
      </rPr>
      <t>-0.879</t>
    </r>
    <r>
      <rPr>
        <sz val="11"/>
        <rFont val="Meiryo UI"/>
        <family val="2"/>
      </rPr>
      <t xml:space="preserve">) than use "^" (VOUT1^-0.879) </t>
    </r>
    <phoneticPr fontId="9"/>
  </si>
  <si>
    <t>Where is (Note 3)?</t>
    <phoneticPr fontId="9"/>
  </si>
  <si>
    <t>Number of decimal places are different from data sheet.
Also some value location (min/typ/max) are different (but this can be better with our location for understanding).
chrome-extension://efaidnbmnnnibpcajpcglclefindmkaj/https://www.analog.com/media/en/technical-documentation/data-sheets/8057fa.pdf</t>
    <phoneticPr fontId="9"/>
  </si>
  <si>
    <t>"RADJ" "CIN", "COUT" better to be shown in schematics or block diagram for easy understandings.  Figure 46 can have that information but not. (RADJ = R3483 ?, if so, write it somewhere)</t>
    <phoneticPr fontId="9"/>
  </si>
  <si>
    <t>11.2</t>
    <phoneticPr fontId="9"/>
  </si>
  <si>
    <t>"TPS5516x-Q1""TPS55165-Q1" doesn't appears in table 2 nor E-BOM.  Please check.</t>
    <phoneticPr fontId="9"/>
  </si>
  <si>
    <t>Table 41</t>
    <phoneticPr fontId="9"/>
  </si>
  <si>
    <t>What are the Type means?  Legend required.</t>
    <phoneticPr fontId="9"/>
  </si>
  <si>
    <t xml:space="preserve">11.7.1 </t>
    <phoneticPr fontId="9"/>
  </si>
  <si>
    <t>Better use consistent expression for rating in this document.  It varies "Max Ratings", "Maximum Ratings", "Absolute Maximum Ratings",...</t>
    <phoneticPr fontId="9"/>
  </si>
  <si>
    <t>11.9.1</t>
    <phoneticPr fontId="9"/>
  </si>
  <si>
    <t>What is the "typical application" to refer to in Note?</t>
    <phoneticPr fontId="9"/>
  </si>
  <si>
    <t>Most of the text are copy &amp; paste from data sheet so the some descriptions includes introduction of series product.  It will be good to focus on the exact device we decided to use for Ultra Small with the reason of selection.  Some location only shows the list of product series and no criteria to select one from the list.
This may take a lot of work so consider make this to "Pending Items" for document improvement.</t>
    <phoneticPr fontId="9"/>
  </si>
  <si>
    <t xml:space="preserve">Capacitors </t>
    <phoneticPr fontId="9"/>
  </si>
  <si>
    <t>What are C1722/C1723/C1726/C1727/C1724?
There is no information on those capacitors.
(May need to update with Figure 53).
Circuit diagram base reference is a good idea, I think.</t>
    <phoneticPr fontId="9"/>
  </si>
  <si>
    <t>Equation</t>
    <phoneticPr fontId="9"/>
  </si>
  <si>
    <t>Where can I refer to Equation 3?
Also please be careful to use "Equation n" because this document has a lot of equations so that it can be confusing.  Use rule like Chapter-Equetion # (like 11-1) to identify single equation.</t>
    <phoneticPr fontId="9"/>
  </si>
  <si>
    <t>same as #72</t>
    <phoneticPr fontId="9"/>
  </si>
  <si>
    <t>Capacitors , Resisters</t>
    <phoneticPr fontId="9"/>
  </si>
  <si>
    <t>same as #72 with R1720</t>
    <phoneticPr fontId="9"/>
  </si>
  <si>
    <t>12</t>
    <phoneticPr fontId="9"/>
  </si>
  <si>
    <t>ACS730KLCTR is not listed in Table 2</t>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</si>
</sst>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09]d/mmm;@"/>
  </numFmts>
  <fonts count="14">
    <font>
      <sz val="11"/>
      <color theme="1"/>
      <name val="Meiryo UI"/>
      <charset val="128"/>
    </font>
    <font>
      <b/>
      <sz val="11"/>
      <color theme="1"/>
      <name val="メイリオ"/>
      <family val="2"/>
      <scheme val="major"/>
    </font>
    <font>
      <b/>
      <sz val="10"/>
      <name val="Meiryo UI"/>
      <family val="2"/>
    </font>
    <font>
      <sz val="11"/>
      <name val="Meiryo UI"/>
      <family val="2"/>
    </font>
    <font>
      <b/>
      <sz val="11"/>
      <name val="Arial"/>
      <family val="2"/>
    </font>
    <font>
      <sz val="11"/>
      <name val="Arial"/>
      <family val="2"/>
    </font>
    <font>
      <sz val="11"/>
      <color theme="1"/>
      <name val="Arial"/>
      <family val="2"/>
    </font>
    <font>
      <sz val="11"/>
      <color theme="1"/>
      <name val="Meiryo UI"/>
      <family val="2"/>
    </font>
    <font>
      <sz val="11"/>
      <color theme="1"/>
      <name val="Meiryo UI"/>
      <family val="2"/>
    </font>
    <font>
      <sz val="6"/>
      <name val="Meiryo UI"/>
      <charset val="128"/>
    </font>
    <font>
      <b/>
      <sz val="11"/>
      <name val="Meiryo UI"/>
      <family val="3"/>
      <charset val="128"/>
    </font>
    <font>
      <vertAlign val="subscript"/>
      <sz val="11"/>
      <name val="Meiryo UI"/>
      <family val="3"/>
      <charset val="128"/>
    </font>
    <font>
      <sz val="11"/>
      <name val="Meiryo UI"/>
      <family val="3"/>
      <charset val="128"/>
    </font>
    <font>
      <vertAlign val="superscript"/>
      <sz val="11"/>
      <name val="Meiryo UI"/>
      <family val="3"/>
      <charset val="128"/>
    </font>
  </fonts>
  <fills count="4">
    <fill>
      <patternFill patternType="none"/>
    </fill>
    <fill>
      <patternFill patternType="gray125"/>
    </fill>
    <fill>
      <patternFill patternType="solid">
        <fgColor theme="3" tint="0.89996032593768116"/>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8" fillId="0" borderId="0">
      <alignment vertical="center"/>
    </xf>
  </cellStyleXfs>
  <cellXfs count="24">
    <xf numFmtId="0" fontId="0" fillId="0" borderId="0" xfId="0">
      <alignment vertical="center"/>
    </xf>
    <xf numFmtId="0" fontId="0" fillId="0" borderId="0" xfId="0" applyAlignment="1">
      <alignment horizontal="center" vertical="center" wrapText="1"/>
    </xf>
    <xf numFmtId="0" fontId="0" fillId="0" borderId="0" xfId="0" applyAlignment="1">
      <alignment vertical="center" wrapText="1"/>
    </xf>
    <xf numFmtId="0" fontId="1" fillId="0" borderId="0" xfId="0" applyFont="1" applyAlignment="1">
      <alignment horizontal="justify"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2" borderId="1" xfId="0" applyFont="1" applyFill="1" applyBorder="1" applyAlignment="1">
      <alignment horizontal="center" vertical="center" shrinkToFi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176" fontId="3" fillId="0" borderId="1" xfId="0" applyNumberFormat="1" applyFont="1" applyBorder="1" applyAlignment="1">
      <alignment horizontal="center" vertical="center" wrapText="1"/>
    </xf>
    <xf numFmtId="0" fontId="4" fillId="2" borderId="1" xfId="0" applyFont="1" applyFill="1" applyBorder="1" applyAlignment="1">
      <alignment horizontal="center" vertical="center" wrapText="1"/>
    </xf>
    <xf numFmtId="0" fontId="5" fillId="0" borderId="1" xfId="0" applyFont="1" applyBorder="1" applyAlignment="1">
      <alignment horizontal="justify" vertical="center" wrapText="1"/>
    </xf>
    <xf numFmtId="0" fontId="5" fillId="0" borderId="1" xfId="0" applyFont="1" applyBorder="1" applyAlignment="1">
      <alignment vertical="center" wrapText="1"/>
    </xf>
    <xf numFmtId="0" fontId="0" fillId="0" borderId="1" xfId="0" applyBorder="1" applyAlignment="1">
      <alignment vertical="center" wrapText="1"/>
    </xf>
    <xf numFmtId="0" fontId="6" fillId="0" borderId="1" xfId="0" applyFont="1" applyBorder="1" applyAlignment="1">
      <alignment horizontal="justify" vertical="center" wrapText="1"/>
    </xf>
    <xf numFmtId="0" fontId="7" fillId="0" borderId="1" xfId="0" applyFont="1" applyBorder="1" applyAlignment="1">
      <alignment horizontal="center" vertical="center" wrapText="1"/>
    </xf>
    <xf numFmtId="0" fontId="0" fillId="0" borderId="1" xfId="0" applyBorder="1" applyAlignment="1">
      <alignment horizontal="center" vertical="center" wrapText="1"/>
    </xf>
    <xf numFmtId="0" fontId="7" fillId="0" borderId="1" xfId="0" applyFont="1" applyBorder="1" applyAlignment="1">
      <alignment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vertical="center" wrapText="1"/>
    </xf>
    <xf numFmtId="0" fontId="3" fillId="3" borderId="1" xfId="0" applyFont="1" applyFill="1" applyBorder="1" applyAlignment="1">
      <alignment vertical="top" wrapText="1"/>
    </xf>
    <xf numFmtId="176" fontId="3" fillId="3" borderId="1" xfId="0" applyNumberFormat="1" applyFont="1" applyFill="1" applyBorder="1" applyAlignment="1">
      <alignment horizontal="center" vertical="center" wrapText="1"/>
    </xf>
    <xf numFmtId="0" fontId="5" fillId="3" borderId="1" xfId="0" applyFont="1" applyFill="1" applyBorder="1" applyAlignment="1">
      <alignment horizontal="justify" vertical="center" wrapText="1"/>
    </xf>
    <xf numFmtId="0" fontId="3" fillId="0" borderId="1" xfId="0" quotePrefix="1" applyFont="1" applyBorder="1" applyAlignment="1">
      <alignment vertical="center" wrapText="1"/>
    </xf>
  </cellXfs>
  <cellStyles count="2">
    <cellStyle name="Normal" xfId="0" builtinId="0"/>
    <cellStyle name="Normal 2" xfId="1"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106680</xdr:colOff>
      <xdr:row>36</xdr:row>
      <xdr:rowOff>435796</xdr:rowOff>
    </xdr:from>
    <xdr:to>
      <xdr:col>3</xdr:col>
      <xdr:colOff>3332476</xdr:colOff>
      <xdr:row>36</xdr:row>
      <xdr:rowOff>1771911</xdr:rowOff>
    </xdr:to>
    <xdr:pic>
      <xdr:nvPicPr>
        <xdr:cNvPr id="2" name="Picture 1">
          <a:extLst>
            <a:ext uri="{FF2B5EF4-FFF2-40B4-BE49-F238E27FC236}">
              <a16:creationId xmlns:a16="http://schemas.microsoft.com/office/drawing/2014/main" id="{7EB54A34-50DB-6C28-953F-BA9224994671}"/>
            </a:ext>
          </a:extLst>
        </xdr:cNvPr>
        <xdr:cNvPicPr>
          <a:picLocks noChangeAspect="1"/>
        </xdr:cNvPicPr>
      </xdr:nvPicPr>
      <xdr:blipFill>
        <a:blip xmlns:r="http://schemas.openxmlformats.org/officeDocument/2006/relationships" r:embed="rId1"/>
        <a:stretch>
          <a:fillRect/>
        </a:stretch>
      </xdr:blipFill>
      <xdr:spPr>
        <a:xfrm>
          <a:off x="2506980" y="29582296"/>
          <a:ext cx="3233416" cy="133611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Calibri">
      <a:majorFont>
        <a:latin typeface="Calibri"/>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2"/>
  <sheetViews>
    <sheetView tabSelected="1" topLeftCell="A64" workbookViewId="0">
      <selection activeCell="E76" sqref="E76:F77"/>
    </sheetView>
  </sheetViews>
  <sheetFormatPr defaultColWidth="9" defaultRowHeight="17.45"/>
  <cols>
    <col min="1" max="1" width="3.6640625" style="1" customWidth="1"/>
    <col min="2" max="2" width="10.21875" style="1" customWidth="1"/>
    <col min="3" max="3" width="14.77734375" style="2" customWidth="1"/>
    <col min="4" max="4" width="56.5546875" style="2" customWidth="1"/>
    <col min="5" max="6" width="4.6640625" style="1" customWidth="1"/>
    <col min="7" max="7" width="12.33203125" style="1" customWidth="1"/>
    <col min="8" max="8" width="8" style="1" customWidth="1"/>
    <col min="9" max="9" width="32.6640625" style="3" customWidth="1"/>
    <col min="10" max="10" width="8" style="1" customWidth="1"/>
    <col min="11" max="16384" width="9" style="2"/>
  </cols>
  <sheetData>
    <row r="1" spans="1:10" ht="15">
      <c r="A1" s="4" t="s">
        <v>0</v>
      </c>
      <c r="B1" s="4" t="s">
        <v>1</v>
      </c>
      <c r="C1" s="5" t="s">
        <v>2</v>
      </c>
      <c r="D1" s="5" t="s">
        <v>3</v>
      </c>
      <c r="E1" s="6" t="s">
        <v>4</v>
      </c>
      <c r="F1" s="6" t="s">
        <v>5</v>
      </c>
      <c r="G1" s="4" t="s">
        <v>6</v>
      </c>
      <c r="H1" s="4" t="s">
        <v>7</v>
      </c>
      <c r="I1" s="10" t="s">
        <v>8</v>
      </c>
      <c r="J1" s="4" t="s">
        <v>7</v>
      </c>
    </row>
    <row r="2" spans="1:10" ht="15">
      <c r="A2" s="18">
        <f>IF(ISBLANK(B2),"",ROW()-1)</f>
        <v>1</v>
      </c>
      <c r="B2" s="18">
        <v>109</v>
      </c>
      <c r="C2" s="19" t="s">
        <v>9</v>
      </c>
      <c r="D2" s="20" t="s">
        <v>10</v>
      </c>
      <c r="E2" s="18" t="s">
        <v>11</v>
      </c>
      <c r="F2" s="18" t="s">
        <v>12</v>
      </c>
      <c r="G2" s="18" t="s">
        <v>13</v>
      </c>
      <c r="H2" s="21">
        <v>46101</v>
      </c>
      <c r="I2" s="22" t="s">
        <v>14</v>
      </c>
      <c r="J2" s="21"/>
    </row>
    <row r="3" spans="1:10" ht="15">
      <c r="A3" s="18">
        <f>IF(ISBLANK(B3),"",ROW()-1)</f>
        <v>2</v>
      </c>
      <c r="B3" s="18">
        <v>59</v>
      </c>
      <c r="C3" s="19" t="s">
        <v>15</v>
      </c>
      <c r="D3" s="19" t="s">
        <v>16</v>
      </c>
      <c r="E3" s="18" t="s">
        <v>17</v>
      </c>
      <c r="F3" s="18" t="s">
        <v>12</v>
      </c>
      <c r="G3" s="18" t="s">
        <v>13</v>
      </c>
      <c r="H3" s="21">
        <v>46101</v>
      </c>
      <c r="I3" s="22" t="s">
        <v>14</v>
      </c>
      <c r="J3" s="21"/>
    </row>
    <row r="4" spans="1:10" ht="105">
      <c r="A4" s="18">
        <f t="shared" ref="A4:A6" si="0">IF(ISBLANK(B4),"",ROW()-1)</f>
        <v>3</v>
      </c>
      <c r="B4" s="18">
        <v>1</v>
      </c>
      <c r="C4" s="19" t="s">
        <v>18</v>
      </c>
      <c r="D4" s="20" t="s">
        <v>19</v>
      </c>
      <c r="E4" s="18" t="s">
        <v>11</v>
      </c>
      <c r="F4" s="18" t="s">
        <v>20</v>
      </c>
      <c r="G4" s="18" t="s">
        <v>13</v>
      </c>
      <c r="H4" s="21">
        <v>46101</v>
      </c>
      <c r="I4" s="22" t="s">
        <v>21</v>
      </c>
      <c r="J4" s="21"/>
    </row>
    <row r="5" spans="1:10" ht="27.6">
      <c r="A5" s="18">
        <f t="shared" si="0"/>
        <v>4</v>
      </c>
      <c r="B5" s="18">
        <v>1</v>
      </c>
      <c r="C5" s="19" t="s">
        <v>22</v>
      </c>
      <c r="D5" s="19" t="s">
        <v>23</v>
      </c>
      <c r="E5" s="18" t="s">
        <v>17</v>
      </c>
      <c r="F5" s="18" t="s">
        <v>20</v>
      </c>
      <c r="G5" s="18" t="s">
        <v>13</v>
      </c>
      <c r="H5" s="21">
        <v>46101</v>
      </c>
      <c r="I5" s="22" t="s">
        <v>24</v>
      </c>
      <c r="J5" s="21"/>
    </row>
    <row r="6" spans="1:10" ht="27.6">
      <c r="A6" s="18">
        <f t="shared" si="0"/>
        <v>5</v>
      </c>
      <c r="B6" s="18" t="s">
        <v>25</v>
      </c>
      <c r="C6" s="19" t="s">
        <v>25</v>
      </c>
      <c r="D6" s="19" t="s">
        <v>26</v>
      </c>
      <c r="E6" s="18" t="s">
        <v>17</v>
      </c>
      <c r="F6" s="18" t="s">
        <v>20</v>
      </c>
      <c r="G6" s="18" t="s">
        <v>13</v>
      </c>
      <c r="H6" s="21">
        <v>46101</v>
      </c>
      <c r="I6" s="22" t="s">
        <v>27</v>
      </c>
      <c r="J6" s="21"/>
    </row>
    <row r="7" spans="1:10" ht="150">
      <c r="A7" s="7">
        <f t="shared" ref="A7:A42" si="1">IF(ISBLANK(B7),"",ROW()-1)</f>
        <v>6</v>
      </c>
      <c r="B7" s="7">
        <v>1</v>
      </c>
      <c r="C7" s="8" t="s">
        <v>28</v>
      </c>
      <c r="D7" s="8" t="s">
        <v>29</v>
      </c>
      <c r="E7" s="7" t="s">
        <v>17</v>
      </c>
      <c r="F7" s="7" t="s">
        <v>12</v>
      </c>
      <c r="G7" s="7" t="s">
        <v>30</v>
      </c>
      <c r="H7" s="9">
        <v>46112</v>
      </c>
      <c r="I7" s="11"/>
      <c r="J7" s="9"/>
    </row>
    <row r="8" spans="1:10" ht="45">
      <c r="A8" s="7">
        <f t="shared" si="1"/>
        <v>7</v>
      </c>
      <c r="B8" s="7">
        <v>1</v>
      </c>
      <c r="C8" s="8" t="s">
        <v>28</v>
      </c>
      <c r="D8" s="8" t="s">
        <v>31</v>
      </c>
      <c r="E8" s="7" t="s">
        <v>11</v>
      </c>
      <c r="F8" s="7" t="s">
        <v>20</v>
      </c>
      <c r="G8" s="7" t="s">
        <v>30</v>
      </c>
      <c r="H8" s="9">
        <v>46112</v>
      </c>
      <c r="I8" s="11"/>
      <c r="J8" s="9"/>
    </row>
    <row r="9" spans="1:10" ht="60">
      <c r="A9" s="7">
        <f t="shared" si="1"/>
        <v>8</v>
      </c>
      <c r="B9" s="7">
        <v>1</v>
      </c>
      <c r="C9" s="8" t="s">
        <v>32</v>
      </c>
      <c r="D9" s="8" t="s">
        <v>33</v>
      </c>
      <c r="E9" s="7" t="s">
        <v>11</v>
      </c>
      <c r="F9" s="7" t="s">
        <v>20</v>
      </c>
      <c r="G9" s="7" t="s">
        <v>30</v>
      </c>
      <c r="H9" s="9">
        <v>46112</v>
      </c>
      <c r="I9" s="11"/>
      <c r="J9" s="9"/>
    </row>
    <row r="10" spans="1:10" ht="30">
      <c r="A10" s="7">
        <f t="shared" si="1"/>
        <v>9</v>
      </c>
      <c r="B10" s="7">
        <v>1</v>
      </c>
      <c r="C10" s="8" t="s">
        <v>34</v>
      </c>
      <c r="D10" s="8" t="s">
        <v>35</v>
      </c>
      <c r="E10" s="7" t="s">
        <v>36</v>
      </c>
      <c r="F10" s="7" t="s">
        <v>20</v>
      </c>
      <c r="G10" s="7" t="s">
        <v>30</v>
      </c>
      <c r="H10" s="9">
        <v>46112</v>
      </c>
      <c r="I10" s="11"/>
      <c r="J10" s="9"/>
    </row>
    <row r="11" spans="1:10" ht="90">
      <c r="A11" s="7">
        <f t="shared" si="1"/>
        <v>10</v>
      </c>
      <c r="B11" s="7">
        <v>2</v>
      </c>
      <c r="C11" s="8" t="s">
        <v>37</v>
      </c>
      <c r="D11" s="8" t="s">
        <v>38</v>
      </c>
      <c r="E11" s="7" t="s">
        <v>17</v>
      </c>
      <c r="F11" s="7" t="s">
        <v>20</v>
      </c>
      <c r="G11" s="7" t="s">
        <v>30</v>
      </c>
      <c r="H11" s="9">
        <v>46112</v>
      </c>
      <c r="I11" s="11"/>
      <c r="J11" s="9"/>
    </row>
    <row r="12" spans="1:10" ht="255">
      <c r="A12" s="7">
        <f t="shared" si="1"/>
        <v>11</v>
      </c>
      <c r="B12" s="7">
        <v>2</v>
      </c>
      <c r="C12" s="8" t="s">
        <v>37</v>
      </c>
      <c r="D12" s="8" t="s">
        <v>39</v>
      </c>
      <c r="E12" s="7" t="s">
        <v>17</v>
      </c>
      <c r="F12" s="7" t="s">
        <v>12</v>
      </c>
      <c r="G12" s="7" t="s">
        <v>30</v>
      </c>
      <c r="H12" s="9">
        <v>46112</v>
      </c>
      <c r="I12" s="11"/>
      <c r="J12" s="9"/>
    </row>
    <row r="13" spans="1:10" ht="30">
      <c r="A13" s="7">
        <f t="shared" si="1"/>
        <v>12</v>
      </c>
      <c r="B13" s="7">
        <v>2</v>
      </c>
      <c r="C13" s="8" t="s">
        <v>37</v>
      </c>
      <c r="D13" s="8" t="s">
        <v>40</v>
      </c>
      <c r="E13" s="7" t="s">
        <v>36</v>
      </c>
      <c r="F13" s="7" t="s">
        <v>20</v>
      </c>
      <c r="G13" s="7" t="s">
        <v>30</v>
      </c>
      <c r="H13" s="9">
        <v>46112</v>
      </c>
      <c r="I13" s="11"/>
      <c r="J13" s="9"/>
    </row>
    <row r="14" spans="1:10" ht="45">
      <c r="A14" s="7">
        <f t="shared" si="1"/>
        <v>13</v>
      </c>
      <c r="B14" s="7">
        <v>2</v>
      </c>
      <c r="C14" s="8" t="s">
        <v>37</v>
      </c>
      <c r="D14" s="8" t="s">
        <v>41</v>
      </c>
      <c r="E14" s="7"/>
      <c r="F14" s="7"/>
      <c r="G14" s="7" t="s">
        <v>30</v>
      </c>
      <c r="H14" s="9">
        <v>46112</v>
      </c>
      <c r="I14" s="11"/>
      <c r="J14" s="9"/>
    </row>
    <row r="15" spans="1:10" ht="30">
      <c r="A15" s="7">
        <f t="shared" si="1"/>
        <v>14</v>
      </c>
      <c r="B15" s="7">
        <v>2</v>
      </c>
      <c r="C15" s="8" t="s">
        <v>42</v>
      </c>
      <c r="D15" s="8" t="s">
        <v>43</v>
      </c>
      <c r="E15" s="7" t="s">
        <v>11</v>
      </c>
      <c r="F15" s="7" t="s">
        <v>12</v>
      </c>
      <c r="G15" s="7" t="s">
        <v>30</v>
      </c>
      <c r="H15" s="9">
        <v>46112</v>
      </c>
      <c r="I15" s="12"/>
      <c r="J15" s="9"/>
    </row>
    <row r="16" spans="1:10" ht="61.9" customHeight="1">
      <c r="A16" s="7">
        <f t="shared" si="1"/>
        <v>15</v>
      </c>
      <c r="B16" s="7">
        <v>13</v>
      </c>
      <c r="C16" s="8" t="s">
        <v>44</v>
      </c>
      <c r="D16" s="8" t="s">
        <v>45</v>
      </c>
      <c r="E16" s="7" t="s">
        <v>36</v>
      </c>
      <c r="F16" s="7" t="s">
        <v>20</v>
      </c>
      <c r="G16" s="7" t="s">
        <v>30</v>
      </c>
      <c r="H16" s="9">
        <v>46112</v>
      </c>
      <c r="I16" s="12"/>
      <c r="J16" s="9"/>
    </row>
    <row r="17" spans="1:10" ht="108" customHeight="1">
      <c r="A17" s="7">
        <f t="shared" si="1"/>
        <v>16</v>
      </c>
      <c r="B17" s="7">
        <v>14</v>
      </c>
      <c r="C17" s="8" t="s">
        <v>46</v>
      </c>
      <c r="D17" s="8" t="s">
        <v>47</v>
      </c>
      <c r="E17" s="7" t="s">
        <v>11</v>
      </c>
      <c r="F17" s="7" t="s">
        <v>20</v>
      </c>
      <c r="G17" s="7" t="s">
        <v>30</v>
      </c>
      <c r="H17" s="9">
        <v>46112</v>
      </c>
      <c r="I17" s="11"/>
      <c r="J17" s="9"/>
    </row>
    <row r="18" spans="1:10" ht="30">
      <c r="A18" s="7">
        <f t="shared" si="1"/>
        <v>17</v>
      </c>
      <c r="B18" s="7">
        <v>14</v>
      </c>
      <c r="C18" s="8" t="s">
        <v>46</v>
      </c>
      <c r="D18" s="8" t="s">
        <v>48</v>
      </c>
      <c r="E18" s="7" t="s">
        <v>17</v>
      </c>
      <c r="F18" s="7" t="s">
        <v>20</v>
      </c>
      <c r="G18" s="7" t="s">
        <v>30</v>
      </c>
      <c r="H18" s="9">
        <v>46112</v>
      </c>
      <c r="I18" s="12"/>
      <c r="J18" s="9"/>
    </row>
    <row r="19" spans="1:10" ht="30">
      <c r="A19" s="7">
        <f t="shared" si="1"/>
        <v>18</v>
      </c>
      <c r="B19" s="7">
        <v>15</v>
      </c>
      <c r="C19" s="8" t="s">
        <v>49</v>
      </c>
      <c r="D19" s="8" t="s">
        <v>50</v>
      </c>
      <c r="E19" s="7" t="s">
        <v>11</v>
      </c>
      <c r="F19" s="7" t="s">
        <v>20</v>
      </c>
      <c r="G19" s="7" t="s">
        <v>30</v>
      </c>
      <c r="H19" s="9">
        <v>46112</v>
      </c>
      <c r="I19" s="11"/>
      <c r="J19" s="9"/>
    </row>
    <row r="20" spans="1:10" ht="60">
      <c r="A20" s="7">
        <f t="shared" si="1"/>
        <v>19</v>
      </c>
      <c r="B20" s="7">
        <v>16</v>
      </c>
      <c r="C20" s="8" t="s">
        <v>51</v>
      </c>
      <c r="D20" s="8" t="s">
        <v>52</v>
      </c>
      <c r="E20" s="7" t="s">
        <v>17</v>
      </c>
      <c r="F20" s="7" t="s">
        <v>20</v>
      </c>
      <c r="G20" s="7" t="s">
        <v>30</v>
      </c>
      <c r="H20" s="9">
        <v>46112</v>
      </c>
      <c r="I20" s="11"/>
      <c r="J20" s="9"/>
    </row>
    <row r="21" spans="1:10" ht="60">
      <c r="A21" s="7">
        <f t="shared" si="1"/>
        <v>20</v>
      </c>
      <c r="B21" s="7">
        <v>16</v>
      </c>
      <c r="C21" s="8" t="s">
        <v>53</v>
      </c>
      <c r="D21" s="8" t="s">
        <v>54</v>
      </c>
      <c r="E21" s="7" t="s">
        <v>36</v>
      </c>
      <c r="F21" s="7" t="s">
        <v>20</v>
      </c>
      <c r="G21" s="7" t="s">
        <v>30</v>
      </c>
      <c r="H21" s="9">
        <v>46112</v>
      </c>
      <c r="I21" s="11"/>
      <c r="J21" s="9"/>
    </row>
    <row r="22" spans="1:10" ht="45">
      <c r="A22" s="7">
        <f t="shared" si="1"/>
        <v>21</v>
      </c>
      <c r="B22" s="7">
        <v>18</v>
      </c>
      <c r="C22" s="8" t="s">
        <v>55</v>
      </c>
      <c r="D22" s="8" t="s">
        <v>56</v>
      </c>
      <c r="E22" s="7" t="s">
        <v>36</v>
      </c>
      <c r="F22" s="7" t="s">
        <v>20</v>
      </c>
      <c r="G22" s="7" t="s">
        <v>30</v>
      </c>
      <c r="H22" s="9">
        <v>46112</v>
      </c>
      <c r="I22" s="11"/>
      <c r="J22" s="9"/>
    </row>
    <row r="23" spans="1:10" ht="30">
      <c r="A23" s="7">
        <f t="shared" si="1"/>
        <v>22</v>
      </c>
      <c r="B23" s="7">
        <v>19</v>
      </c>
      <c r="C23" s="8" t="s">
        <v>53</v>
      </c>
      <c r="D23" s="8" t="s">
        <v>57</v>
      </c>
      <c r="E23" s="7" t="s">
        <v>11</v>
      </c>
      <c r="F23" s="7" t="s">
        <v>12</v>
      </c>
      <c r="G23" s="7" t="s">
        <v>30</v>
      </c>
      <c r="H23" s="9">
        <v>46113</v>
      </c>
      <c r="I23" s="11"/>
      <c r="J23" s="9"/>
    </row>
    <row r="24" spans="1:10" ht="195">
      <c r="A24" s="7">
        <f t="shared" si="1"/>
        <v>23</v>
      </c>
      <c r="B24" s="7" t="s">
        <v>58</v>
      </c>
      <c r="C24" s="8" t="s">
        <v>59</v>
      </c>
      <c r="D24" s="8" t="s">
        <v>60</v>
      </c>
      <c r="E24" s="7" t="s">
        <v>17</v>
      </c>
      <c r="F24" s="7" t="s">
        <v>20</v>
      </c>
      <c r="G24" s="7" t="s">
        <v>30</v>
      </c>
      <c r="H24" s="9">
        <v>46113</v>
      </c>
      <c r="I24" s="11"/>
      <c r="J24" s="9"/>
    </row>
    <row r="25" spans="1:10" ht="30">
      <c r="A25" s="7">
        <f t="shared" si="1"/>
        <v>24</v>
      </c>
      <c r="B25" s="7" t="s">
        <v>58</v>
      </c>
      <c r="C25" s="8" t="s">
        <v>59</v>
      </c>
      <c r="D25" s="8" t="s">
        <v>61</v>
      </c>
      <c r="E25" s="7" t="s">
        <v>17</v>
      </c>
      <c r="F25" s="7" t="s">
        <v>20</v>
      </c>
      <c r="G25" s="7" t="s">
        <v>30</v>
      </c>
      <c r="H25" s="9">
        <v>46113</v>
      </c>
      <c r="I25" s="11"/>
      <c r="J25" s="9"/>
    </row>
    <row r="26" spans="1:10" ht="30">
      <c r="A26" s="7">
        <f t="shared" si="1"/>
        <v>25</v>
      </c>
      <c r="B26" s="7" t="s">
        <v>58</v>
      </c>
      <c r="C26" s="8" t="s">
        <v>59</v>
      </c>
      <c r="D26" s="8" t="s">
        <v>62</v>
      </c>
      <c r="E26" s="7" t="s">
        <v>17</v>
      </c>
      <c r="F26" s="7" t="s">
        <v>20</v>
      </c>
      <c r="G26" s="7" t="s">
        <v>30</v>
      </c>
      <c r="H26" s="9">
        <v>46113</v>
      </c>
      <c r="I26" s="11"/>
      <c r="J26" s="9"/>
    </row>
    <row r="27" spans="1:10" ht="15">
      <c r="A27" s="7">
        <f t="shared" si="1"/>
        <v>26</v>
      </c>
      <c r="B27" s="7">
        <v>22</v>
      </c>
      <c r="C27" s="8" t="s">
        <v>63</v>
      </c>
      <c r="D27" s="8" t="s">
        <v>64</v>
      </c>
      <c r="E27" s="7" t="s">
        <v>11</v>
      </c>
      <c r="F27" s="7" t="s">
        <v>20</v>
      </c>
      <c r="G27" s="7" t="s">
        <v>30</v>
      </c>
      <c r="H27" s="9">
        <v>46113</v>
      </c>
      <c r="I27" s="11"/>
      <c r="J27" s="9"/>
    </row>
    <row r="28" spans="1:10" ht="90">
      <c r="A28" s="7">
        <f t="shared" si="1"/>
        <v>27</v>
      </c>
      <c r="B28" s="7">
        <v>22</v>
      </c>
      <c r="C28" s="8" t="s">
        <v>65</v>
      </c>
      <c r="D28" s="8" t="s">
        <v>66</v>
      </c>
      <c r="E28" s="7" t="s">
        <v>17</v>
      </c>
      <c r="F28" s="7" t="s">
        <v>20</v>
      </c>
      <c r="G28" s="7" t="s">
        <v>30</v>
      </c>
      <c r="H28" s="9">
        <v>46113</v>
      </c>
      <c r="I28" s="11"/>
      <c r="J28" s="9"/>
    </row>
    <row r="29" spans="1:10" ht="60">
      <c r="A29" s="7">
        <f t="shared" si="1"/>
        <v>28</v>
      </c>
      <c r="B29" s="7" t="s">
        <v>67</v>
      </c>
      <c r="C29" s="8" t="s">
        <v>68</v>
      </c>
      <c r="D29" s="8" t="s">
        <v>69</v>
      </c>
      <c r="E29" s="7" t="s">
        <v>17</v>
      </c>
      <c r="F29" s="7" t="s">
        <v>20</v>
      </c>
      <c r="G29" s="7" t="s">
        <v>30</v>
      </c>
      <c r="H29" s="9">
        <v>46113</v>
      </c>
      <c r="I29" s="11"/>
      <c r="J29" s="9"/>
    </row>
    <row r="30" spans="1:10" ht="60">
      <c r="A30" s="7">
        <f t="shared" si="1"/>
        <v>29</v>
      </c>
      <c r="B30" s="7" t="s">
        <v>67</v>
      </c>
      <c r="C30" s="8" t="s">
        <v>68</v>
      </c>
      <c r="D30" s="8" t="s">
        <v>69</v>
      </c>
      <c r="E30" s="7" t="s">
        <v>17</v>
      </c>
      <c r="F30" s="7" t="s">
        <v>20</v>
      </c>
      <c r="G30" s="7" t="s">
        <v>30</v>
      </c>
      <c r="H30" s="9">
        <v>46113</v>
      </c>
      <c r="I30" s="11"/>
      <c r="J30" s="9"/>
    </row>
    <row r="31" spans="1:10" ht="90">
      <c r="A31" s="7">
        <f t="shared" si="1"/>
        <v>30</v>
      </c>
      <c r="B31" s="7" t="s">
        <v>70</v>
      </c>
      <c r="C31" s="8" t="s">
        <v>37</v>
      </c>
      <c r="D31" s="8" t="s">
        <v>71</v>
      </c>
      <c r="E31" s="7" t="s">
        <v>11</v>
      </c>
      <c r="F31" s="7" t="s">
        <v>20</v>
      </c>
      <c r="G31" s="7" t="s">
        <v>30</v>
      </c>
      <c r="H31" s="9">
        <v>46113</v>
      </c>
      <c r="I31" s="11"/>
      <c r="J31" s="9"/>
    </row>
    <row r="32" spans="1:10" ht="105">
      <c r="A32" s="7">
        <f t="shared" si="1"/>
        <v>31</v>
      </c>
      <c r="B32" s="7">
        <v>31</v>
      </c>
      <c r="C32" s="8" t="s">
        <v>72</v>
      </c>
      <c r="D32" s="8" t="s">
        <v>73</v>
      </c>
      <c r="E32" s="7" t="s">
        <v>17</v>
      </c>
      <c r="F32" s="7" t="s">
        <v>20</v>
      </c>
      <c r="G32" s="7" t="s">
        <v>30</v>
      </c>
      <c r="H32" s="9">
        <v>46113</v>
      </c>
      <c r="I32" s="11"/>
      <c r="J32" s="9"/>
    </row>
    <row r="33" spans="1:10" ht="45">
      <c r="A33" s="7">
        <f t="shared" si="1"/>
        <v>32</v>
      </c>
      <c r="B33" s="7">
        <v>31</v>
      </c>
      <c r="C33" s="8" t="s">
        <v>72</v>
      </c>
      <c r="D33" s="8" t="s">
        <v>74</v>
      </c>
      <c r="E33" s="7" t="s">
        <v>11</v>
      </c>
      <c r="F33" s="7" t="s">
        <v>20</v>
      </c>
      <c r="G33" s="7" t="s">
        <v>30</v>
      </c>
      <c r="H33" s="9">
        <v>46113</v>
      </c>
      <c r="I33" s="11"/>
      <c r="J33" s="9"/>
    </row>
    <row r="34" spans="1:10" ht="105">
      <c r="A34" s="7">
        <f t="shared" si="1"/>
        <v>33</v>
      </c>
      <c r="B34" s="7">
        <v>38</v>
      </c>
      <c r="C34" s="8" t="s">
        <v>75</v>
      </c>
      <c r="D34" s="8" t="s">
        <v>76</v>
      </c>
      <c r="E34" s="7" t="s">
        <v>11</v>
      </c>
      <c r="F34" s="7" t="s">
        <v>20</v>
      </c>
      <c r="G34" s="7"/>
      <c r="H34" s="9"/>
      <c r="I34" s="11"/>
      <c r="J34" s="9"/>
    </row>
    <row r="35" spans="1:10" ht="45">
      <c r="A35" s="7">
        <f t="shared" si="1"/>
        <v>34</v>
      </c>
      <c r="B35" s="7" t="s">
        <v>77</v>
      </c>
      <c r="C35" s="8" t="s">
        <v>78</v>
      </c>
      <c r="D35" s="8" t="s">
        <v>79</v>
      </c>
      <c r="E35" s="7" t="s">
        <v>11</v>
      </c>
      <c r="F35" s="7" t="s">
        <v>20</v>
      </c>
      <c r="G35" s="7"/>
      <c r="H35" s="9"/>
      <c r="I35" s="11"/>
      <c r="J35" s="9"/>
    </row>
    <row r="36" spans="1:10" ht="30">
      <c r="A36" s="7">
        <f t="shared" si="1"/>
        <v>35</v>
      </c>
      <c r="B36" s="7">
        <v>40</v>
      </c>
      <c r="C36" s="8" t="s">
        <v>80</v>
      </c>
      <c r="D36" s="8" t="s">
        <v>81</v>
      </c>
      <c r="E36" s="7" t="s">
        <v>17</v>
      </c>
      <c r="F36" s="7" t="s">
        <v>20</v>
      </c>
      <c r="G36" s="7"/>
      <c r="H36" s="9"/>
      <c r="I36" s="11"/>
      <c r="J36" s="9"/>
    </row>
    <row r="37" spans="1:10" ht="165">
      <c r="A37" s="7">
        <f t="shared" si="1"/>
        <v>36</v>
      </c>
      <c r="B37" s="7">
        <v>41</v>
      </c>
      <c r="C37" s="8" t="s">
        <v>82</v>
      </c>
      <c r="D37" s="8" t="s">
        <v>83</v>
      </c>
      <c r="E37" s="7" t="s">
        <v>17</v>
      </c>
      <c r="F37" s="7" t="s">
        <v>20</v>
      </c>
      <c r="G37" s="7"/>
      <c r="H37" s="9"/>
      <c r="I37" s="11"/>
      <c r="J37" s="9"/>
    </row>
    <row r="38" spans="1:10" ht="30">
      <c r="A38" s="7">
        <f t="shared" si="1"/>
        <v>37</v>
      </c>
      <c r="B38" s="7">
        <v>43</v>
      </c>
      <c r="C38" s="8" t="s">
        <v>84</v>
      </c>
      <c r="D38" s="8" t="s">
        <v>85</v>
      </c>
      <c r="E38" s="7" t="s">
        <v>17</v>
      </c>
      <c r="F38" s="7" t="s">
        <v>20</v>
      </c>
      <c r="G38" s="7"/>
      <c r="H38" s="9"/>
      <c r="I38" s="11"/>
      <c r="J38" s="9"/>
    </row>
    <row r="39" spans="1:10" ht="45">
      <c r="A39" s="7">
        <f t="shared" si="1"/>
        <v>38</v>
      </c>
      <c r="B39" s="7" t="s">
        <v>86</v>
      </c>
      <c r="C39" s="8" t="s">
        <v>87</v>
      </c>
      <c r="D39" s="8" t="s">
        <v>88</v>
      </c>
      <c r="E39" s="7" t="s">
        <v>17</v>
      </c>
      <c r="F39" s="7" t="s">
        <v>20</v>
      </c>
      <c r="G39" s="7"/>
      <c r="H39" s="9"/>
      <c r="I39" s="11"/>
      <c r="J39" s="9"/>
    </row>
    <row r="40" spans="1:10" ht="60">
      <c r="A40" s="7">
        <f t="shared" si="1"/>
        <v>39</v>
      </c>
      <c r="B40" s="7" t="s">
        <v>89</v>
      </c>
      <c r="C40" s="8" t="s">
        <v>90</v>
      </c>
      <c r="D40" s="8" t="s">
        <v>91</v>
      </c>
      <c r="E40" s="7" t="s">
        <v>17</v>
      </c>
      <c r="F40" s="7" t="s">
        <v>20</v>
      </c>
      <c r="G40" s="7"/>
      <c r="H40" s="9"/>
      <c r="I40" s="11"/>
      <c r="J40" s="9"/>
    </row>
    <row r="41" spans="1:10" ht="30">
      <c r="A41" s="7">
        <f t="shared" si="1"/>
        <v>40</v>
      </c>
      <c r="B41" s="7">
        <v>51</v>
      </c>
      <c r="C41" s="8" t="s">
        <v>92</v>
      </c>
      <c r="D41" s="8" t="s">
        <v>93</v>
      </c>
      <c r="E41" s="7" t="s">
        <v>17</v>
      </c>
      <c r="F41" s="7" t="s">
        <v>12</v>
      </c>
      <c r="G41" s="7"/>
      <c r="H41" s="9"/>
      <c r="I41" s="11"/>
      <c r="J41" s="9"/>
    </row>
    <row r="42" spans="1:10" ht="225">
      <c r="A42" s="7">
        <f t="shared" si="1"/>
        <v>41</v>
      </c>
      <c r="B42" s="7">
        <v>51</v>
      </c>
      <c r="C42" s="8" t="s">
        <v>94</v>
      </c>
      <c r="D42" s="8" t="s">
        <v>95</v>
      </c>
      <c r="E42" s="7" t="s">
        <v>17</v>
      </c>
      <c r="F42" s="7" t="s">
        <v>12</v>
      </c>
      <c r="G42" s="7"/>
      <c r="H42" s="9"/>
      <c r="I42" s="11"/>
      <c r="J42" s="9"/>
    </row>
    <row r="43" spans="1:10" ht="30">
      <c r="A43" s="7">
        <f t="shared" ref="A43:A71" si="2">IF(ISBLANK(B43),"",ROW()-1)</f>
        <v>42</v>
      </c>
      <c r="B43" s="7">
        <v>53</v>
      </c>
      <c r="C43" s="8" t="s">
        <v>96</v>
      </c>
      <c r="D43" s="8" t="s">
        <v>97</v>
      </c>
      <c r="E43" s="7" t="s">
        <v>11</v>
      </c>
      <c r="F43" s="7" t="s">
        <v>20</v>
      </c>
      <c r="G43" s="7"/>
      <c r="H43" s="9"/>
      <c r="I43" s="11"/>
      <c r="J43" s="9"/>
    </row>
    <row r="44" spans="1:10" ht="90">
      <c r="A44" s="7">
        <f t="shared" si="2"/>
        <v>43</v>
      </c>
      <c r="B44" s="7">
        <v>53</v>
      </c>
      <c r="C44" s="8" t="s">
        <v>96</v>
      </c>
      <c r="D44" s="8" t="s">
        <v>98</v>
      </c>
      <c r="E44" s="7" t="s">
        <v>11</v>
      </c>
      <c r="F44" s="7" t="s">
        <v>20</v>
      </c>
      <c r="G44" s="7"/>
      <c r="H44" s="9"/>
      <c r="I44" s="11"/>
      <c r="J44" s="9"/>
    </row>
    <row r="45" spans="1:10" ht="30">
      <c r="A45" s="7">
        <f t="shared" si="2"/>
        <v>44</v>
      </c>
      <c r="B45" s="7">
        <v>54</v>
      </c>
      <c r="C45" s="8" t="s">
        <v>99</v>
      </c>
      <c r="D45" s="8" t="s">
        <v>100</v>
      </c>
      <c r="E45" s="7" t="s">
        <v>17</v>
      </c>
      <c r="F45" s="7" t="s">
        <v>12</v>
      </c>
      <c r="G45" s="7"/>
      <c r="H45" s="9"/>
      <c r="I45" s="11"/>
      <c r="J45" s="9"/>
    </row>
    <row r="46" spans="1:10" ht="30">
      <c r="A46" s="7">
        <f t="shared" si="2"/>
        <v>45</v>
      </c>
      <c r="B46" s="7">
        <v>54</v>
      </c>
      <c r="C46" s="8" t="s">
        <v>99</v>
      </c>
      <c r="D46" s="8" t="s">
        <v>101</v>
      </c>
      <c r="E46" s="7" t="s">
        <v>36</v>
      </c>
      <c r="F46" s="7" t="s">
        <v>20</v>
      </c>
      <c r="G46" s="7"/>
      <c r="H46" s="9"/>
      <c r="I46" s="11"/>
      <c r="J46" s="9"/>
    </row>
    <row r="47" spans="1:10" ht="30">
      <c r="A47" s="7">
        <f t="shared" si="2"/>
        <v>46</v>
      </c>
      <c r="B47" s="7">
        <v>54</v>
      </c>
      <c r="C47" s="8" t="s">
        <v>102</v>
      </c>
      <c r="D47" s="8" t="s">
        <v>103</v>
      </c>
      <c r="E47" s="7" t="s">
        <v>11</v>
      </c>
      <c r="F47" s="7" t="s">
        <v>20</v>
      </c>
      <c r="G47" s="7"/>
      <c r="H47" s="9"/>
      <c r="I47" s="11"/>
      <c r="J47" s="9"/>
    </row>
    <row r="48" spans="1:10" ht="15">
      <c r="A48" s="7">
        <f t="shared" si="2"/>
        <v>47</v>
      </c>
      <c r="B48" s="7">
        <v>55</v>
      </c>
      <c r="C48" s="8" t="s">
        <v>104</v>
      </c>
      <c r="D48" s="8" t="s">
        <v>105</v>
      </c>
      <c r="E48" s="7" t="s">
        <v>36</v>
      </c>
      <c r="F48" s="7" t="s">
        <v>20</v>
      </c>
      <c r="G48" s="7"/>
      <c r="H48" s="9"/>
      <c r="I48" s="11"/>
      <c r="J48" s="9"/>
    </row>
    <row r="49" spans="1:10" ht="60">
      <c r="A49" s="7">
        <f t="shared" si="2"/>
        <v>48</v>
      </c>
      <c r="B49" s="7">
        <v>55</v>
      </c>
      <c r="C49" s="8" t="s">
        <v>104</v>
      </c>
      <c r="D49" s="8" t="s">
        <v>106</v>
      </c>
      <c r="E49" s="7" t="s">
        <v>36</v>
      </c>
      <c r="F49" s="7" t="s">
        <v>20</v>
      </c>
      <c r="G49" s="7"/>
      <c r="H49" s="9"/>
      <c r="I49" s="11"/>
      <c r="J49" s="9"/>
    </row>
    <row r="50" spans="1:10" ht="60">
      <c r="A50" s="7">
        <f t="shared" si="2"/>
        <v>49</v>
      </c>
      <c r="B50" s="7">
        <v>55</v>
      </c>
      <c r="C50" s="8" t="s">
        <v>104</v>
      </c>
      <c r="D50" s="8" t="s">
        <v>107</v>
      </c>
      <c r="E50" s="7" t="s">
        <v>36</v>
      </c>
      <c r="F50" s="7" t="s">
        <v>12</v>
      </c>
      <c r="G50" s="7"/>
      <c r="H50" s="9"/>
      <c r="I50" s="11"/>
      <c r="J50" s="9"/>
    </row>
    <row r="51" spans="1:10" ht="47.45">
      <c r="A51" s="7">
        <f t="shared" si="2"/>
        <v>50</v>
      </c>
      <c r="B51" s="7" t="s">
        <v>108</v>
      </c>
      <c r="C51" s="8" t="s">
        <v>109</v>
      </c>
      <c r="D51" s="8" t="s">
        <v>110</v>
      </c>
      <c r="E51" s="7" t="s">
        <v>36</v>
      </c>
      <c r="F51" s="7" t="s">
        <v>20</v>
      </c>
      <c r="G51" s="7"/>
      <c r="H51" s="9"/>
      <c r="I51" s="13"/>
      <c r="J51" s="9"/>
    </row>
    <row r="52" spans="1:10" ht="30">
      <c r="A52" s="7">
        <f t="shared" si="2"/>
        <v>51</v>
      </c>
      <c r="B52" s="7" t="s">
        <v>111</v>
      </c>
      <c r="C52" s="8" t="s">
        <v>112</v>
      </c>
      <c r="D52" s="8" t="s">
        <v>113</v>
      </c>
      <c r="E52" s="7" t="s">
        <v>36</v>
      </c>
      <c r="F52" s="7" t="s">
        <v>20</v>
      </c>
      <c r="G52" s="7"/>
      <c r="H52" s="9"/>
      <c r="I52" s="11"/>
      <c r="J52" s="9"/>
    </row>
    <row r="53" spans="1:10" ht="15">
      <c r="A53" s="7">
        <f t="shared" si="2"/>
        <v>52</v>
      </c>
      <c r="B53" s="7">
        <v>55</v>
      </c>
      <c r="C53" s="8" t="s">
        <v>114</v>
      </c>
      <c r="D53" s="8" t="s">
        <v>115</v>
      </c>
      <c r="E53" s="7" t="s">
        <v>36</v>
      </c>
      <c r="F53" s="7" t="s">
        <v>20</v>
      </c>
      <c r="G53" s="7"/>
      <c r="H53" s="9"/>
      <c r="I53" s="11"/>
      <c r="J53" s="9"/>
    </row>
    <row r="54" spans="1:10" ht="15">
      <c r="A54" s="7">
        <f t="shared" si="2"/>
        <v>53</v>
      </c>
      <c r="B54" s="7" t="s">
        <v>111</v>
      </c>
      <c r="C54" s="8" t="s">
        <v>116</v>
      </c>
      <c r="D54" s="8" t="s">
        <v>117</v>
      </c>
      <c r="E54" s="7" t="s">
        <v>36</v>
      </c>
      <c r="F54" s="7" t="s">
        <v>20</v>
      </c>
      <c r="G54" s="7"/>
      <c r="H54" s="9"/>
      <c r="I54" s="11"/>
      <c r="J54" s="9"/>
    </row>
    <row r="55" spans="1:10" ht="16.149999999999999">
      <c r="A55" s="7">
        <f t="shared" si="2"/>
        <v>54</v>
      </c>
      <c r="B55" s="7">
        <v>56</v>
      </c>
      <c r="C55" s="8" t="s">
        <v>118</v>
      </c>
      <c r="D55" s="8" t="s">
        <v>119</v>
      </c>
      <c r="E55" s="7" t="s">
        <v>36</v>
      </c>
      <c r="F55" s="7" t="s">
        <v>20</v>
      </c>
      <c r="G55" s="7"/>
      <c r="H55" s="9"/>
      <c r="I55" s="11"/>
      <c r="J55" s="9"/>
    </row>
    <row r="56" spans="1:10" ht="45">
      <c r="A56" s="7">
        <f t="shared" si="2"/>
        <v>55</v>
      </c>
      <c r="B56" s="7">
        <v>56</v>
      </c>
      <c r="C56" s="8" t="s">
        <v>120</v>
      </c>
      <c r="D56" s="8" t="s">
        <v>121</v>
      </c>
      <c r="E56" s="7" t="s">
        <v>17</v>
      </c>
      <c r="F56" s="7" t="s">
        <v>12</v>
      </c>
      <c r="G56" s="7"/>
      <c r="H56" s="9"/>
      <c r="I56" s="11"/>
      <c r="J56" s="9"/>
    </row>
    <row r="57" spans="1:10" ht="46.15">
      <c r="A57" s="7">
        <f t="shared" si="2"/>
        <v>56</v>
      </c>
      <c r="B57" s="7">
        <v>56</v>
      </c>
      <c r="C57" s="8" t="s">
        <v>122</v>
      </c>
      <c r="D57" s="8" t="s">
        <v>123</v>
      </c>
      <c r="E57" s="7" t="s">
        <v>17</v>
      </c>
      <c r="F57" s="7" t="s">
        <v>20</v>
      </c>
      <c r="G57" s="7"/>
      <c r="H57" s="9"/>
      <c r="I57" s="13"/>
      <c r="J57" s="9"/>
    </row>
    <row r="58" spans="1:10" ht="45">
      <c r="A58" s="7">
        <f t="shared" si="2"/>
        <v>57</v>
      </c>
      <c r="B58" s="7">
        <v>57</v>
      </c>
      <c r="C58" s="8" t="s">
        <v>124</v>
      </c>
      <c r="D58" s="8" t="s">
        <v>125</v>
      </c>
      <c r="E58" s="7" t="s">
        <v>36</v>
      </c>
      <c r="F58" s="7" t="s">
        <v>20</v>
      </c>
      <c r="G58" s="7"/>
      <c r="H58" s="9"/>
      <c r="I58" s="14"/>
      <c r="J58" s="9"/>
    </row>
    <row r="59" spans="1:10" ht="62.45">
      <c r="A59" s="7">
        <f t="shared" si="2"/>
        <v>58</v>
      </c>
      <c r="B59" s="7">
        <v>58</v>
      </c>
      <c r="C59" s="8" t="s">
        <v>126</v>
      </c>
      <c r="D59" s="8" t="s">
        <v>127</v>
      </c>
      <c r="E59" s="7" t="s">
        <v>11</v>
      </c>
      <c r="F59" s="7" t="s">
        <v>20</v>
      </c>
      <c r="G59" s="7"/>
      <c r="H59" s="9"/>
      <c r="I59" s="13"/>
      <c r="J59" s="9"/>
    </row>
    <row r="60" spans="1:10" ht="61.15">
      <c r="A60" s="7">
        <f t="shared" si="2"/>
        <v>59</v>
      </c>
      <c r="B60" s="7">
        <v>58</v>
      </c>
      <c r="C60" s="8" t="s">
        <v>128</v>
      </c>
      <c r="D60" s="8" t="s">
        <v>129</v>
      </c>
      <c r="E60" s="7" t="s">
        <v>36</v>
      </c>
      <c r="F60" s="7" t="s">
        <v>20</v>
      </c>
      <c r="G60" s="7"/>
      <c r="H60" s="9"/>
      <c r="I60" s="14"/>
      <c r="J60" s="9"/>
    </row>
    <row r="61" spans="1:10" ht="32.450000000000003">
      <c r="A61" s="7">
        <f>IF(ISBLANK(B62),"",ROW()-1)</f>
        <v>60</v>
      </c>
      <c r="C61" s="8" t="s">
        <v>130</v>
      </c>
      <c r="D61" s="8" t="s">
        <v>131</v>
      </c>
      <c r="E61" s="7" t="s">
        <v>11</v>
      </c>
      <c r="F61" s="7" t="s">
        <v>20</v>
      </c>
      <c r="G61" s="7"/>
      <c r="H61" s="9"/>
      <c r="I61" s="15"/>
      <c r="J61" s="9"/>
    </row>
    <row r="62" spans="1:10" ht="75">
      <c r="A62" s="7">
        <f>IF(ISBLANK(#REF!),"",ROW()-1)</f>
        <v>61</v>
      </c>
      <c r="B62" s="7">
        <v>59</v>
      </c>
      <c r="C62" s="8" t="s">
        <v>130</v>
      </c>
      <c r="D62" s="8" t="s">
        <v>132</v>
      </c>
      <c r="E62" s="7" t="s">
        <v>36</v>
      </c>
      <c r="F62" s="7" t="s">
        <v>20</v>
      </c>
      <c r="G62" s="7"/>
      <c r="H62" s="9"/>
      <c r="I62" s="16"/>
      <c r="J62" s="9"/>
    </row>
    <row r="63" spans="1:10" ht="15">
      <c r="A63" s="7">
        <f t="shared" si="2"/>
        <v>62</v>
      </c>
      <c r="B63" s="7">
        <v>62</v>
      </c>
      <c r="C63" s="23" t="s">
        <v>133</v>
      </c>
      <c r="D63" s="8" t="s">
        <v>134</v>
      </c>
      <c r="E63" s="7" t="s">
        <v>36</v>
      </c>
      <c r="F63" s="7" t="s">
        <v>20</v>
      </c>
      <c r="G63" s="7"/>
      <c r="H63" s="9"/>
      <c r="I63" s="16"/>
      <c r="J63" s="9"/>
    </row>
    <row r="64" spans="1:10" ht="30.6" customHeight="1">
      <c r="A64" s="7">
        <f t="shared" si="2"/>
        <v>63</v>
      </c>
      <c r="B64" s="7">
        <v>63</v>
      </c>
      <c r="C64" s="8" t="s">
        <v>135</v>
      </c>
      <c r="D64" s="8" t="s">
        <v>136</v>
      </c>
      <c r="E64" s="7" t="s">
        <v>17</v>
      </c>
      <c r="F64" s="7" t="s">
        <v>12</v>
      </c>
      <c r="G64" s="7"/>
      <c r="H64" s="9"/>
      <c r="I64" s="11"/>
      <c r="J64" s="9"/>
    </row>
    <row r="65" spans="1:10" ht="15">
      <c r="A65" s="7">
        <f t="shared" si="2"/>
        <v>64</v>
      </c>
      <c r="B65" s="7">
        <v>63</v>
      </c>
      <c r="C65" s="8" t="s">
        <v>135</v>
      </c>
      <c r="D65" s="8" t="s">
        <v>137</v>
      </c>
      <c r="E65" s="7"/>
      <c r="F65" s="7"/>
      <c r="G65" s="7"/>
      <c r="H65" s="9"/>
      <c r="I65" s="17"/>
      <c r="J65" s="9"/>
    </row>
    <row r="66" spans="1:10" ht="90">
      <c r="A66" s="7">
        <f t="shared" si="2"/>
        <v>65</v>
      </c>
      <c r="B66" s="7">
        <v>63</v>
      </c>
      <c r="C66" s="8" t="s">
        <v>135</v>
      </c>
      <c r="D66" s="8" t="s">
        <v>138</v>
      </c>
      <c r="E66" s="7" t="s">
        <v>17</v>
      </c>
      <c r="F66" s="7" t="s">
        <v>20</v>
      </c>
      <c r="G66" s="7"/>
      <c r="H66" s="9"/>
      <c r="I66" s="11"/>
      <c r="J66" s="9"/>
    </row>
    <row r="67" spans="1:10" ht="45">
      <c r="A67" s="7">
        <f t="shared" si="2"/>
        <v>66</v>
      </c>
      <c r="B67" s="7">
        <v>63</v>
      </c>
      <c r="C67" s="8" t="s">
        <v>135</v>
      </c>
      <c r="D67" s="8" t="s">
        <v>139</v>
      </c>
      <c r="E67" s="7" t="s">
        <v>17</v>
      </c>
      <c r="F67" s="7" t="s">
        <v>20</v>
      </c>
      <c r="G67" s="7"/>
      <c r="H67" s="9"/>
      <c r="I67" s="13"/>
      <c r="J67" s="9"/>
    </row>
    <row r="68" spans="1:10" ht="29.45" customHeight="1">
      <c r="A68" s="7">
        <f t="shared" si="2"/>
        <v>67</v>
      </c>
      <c r="B68" s="7">
        <v>68</v>
      </c>
      <c r="C68" s="23" t="s">
        <v>140</v>
      </c>
      <c r="D68" s="8" t="s">
        <v>141</v>
      </c>
      <c r="E68" s="7" t="s">
        <v>36</v>
      </c>
      <c r="F68" s="7" t="s">
        <v>20</v>
      </c>
      <c r="G68" s="7"/>
      <c r="H68" s="9"/>
      <c r="I68" s="11"/>
      <c r="J68" s="9"/>
    </row>
    <row r="69" spans="1:10" ht="15">
      <c r="A69" s="7">
        <f t="shared" si="2"/>
        <v>68</v>
      </c>
      <c r="B69" s="7">
        <v>69</v>
      </c>
      <c r="C69" s="8" t="s">
        <v>142</v>
      </c>
      <c r="D69" s="8" t="s">
        <v>143</v>
      </c>
      <c r="E69" s="7" t="s">
        <v>36</v>
      </c>
      <c r="F69" s="7" t="s">
        <v>20</v>
      </c>
      <c r="G69" s="7"/>
      <c r="H69" s="9"/>
      <c r="I69" s="13"/>
      <c r="J69" s="9"/>
    </row>
    <row r="70" spans="1:10" ht="30">
      <c r="A70" s="7">
        <f t="shared" si="2"/>
        <v>69</v>
      </c>
      <c r="B70" s="7">
        <v>70</v>
      </c>
      <c r="C70" s="8" t="s">
        <v>144</v>
      </c>
      <c r="D70" s="8" t="s">
        <v>145</v>
      </c>
      <c r="E70" s="7" t="s">
        <v>11</v>
      </c>
      <c r="F70" s="7" t="s">
        <v>12</v>
      </c>
      <c r="G70" s="7"/>
      <c r="H70" s="9"/>
      <c r="I70" s="11"/>
      <c r="J70" s="9"/>
    </row>
    <row r="71" spans="1:10" ht="15">
      <c r="A71" s="7">
        <f t="shared" si="2"/>
        <v>70</v>
      </c>
      <c r="B71" s="7">
        <v>71</v>
      </c>
      <c r="C71" s="8" t="s">
        <v>146</v>
      </c>
      <c r="D71" s="8" t="s">
        <v>147</v>
      </c>
      <c r="E71" s="7" t="s">
        <v>17</v>
      </c>
      <c r="F71" s="7" t="s">
        <v>20</v>
      </c>
      <c r="G71" s="7"/>
      <c r="H71" s="9"/>
      <c r="I71" s="11"/>
      <c r="J71" s="9"/>
    </row>
    <row r="72" spans="1:10" ht="105">
      <c r="A72" s="7">
        <f t="shared" ref="A72:A76" si="3">IF(ISBLANK(B72),"",ROW()-1)</f>
        <v>71</v>
      </c>
      <c r="B72" s="7" t="s">
        <v>89</v>
      </c>
      <c r="C72" s="8" t="s">
        <v>89</v>
      </c>
      <c r="D72" s="8" t="s">
        <v>148</v>
      </c>
      <c r="E72" s="7" t="s">
        <v>17</v>
      </c>
      <c r="F72" s="7" t="s">
        <v>20</v>
      </c>
      <c r="G72" s="7"/>
      <c r="H72" s="9"/>
      <c r="I72" s="11"/>
      <c r="J72" s="9"/>
    </row>
    <row r="73" spans="1:10" ht="60">
      <c r="A73" s="7">
        <f t="shared" si="3"/>
        <v>72</v>
      </c>
      <c r="B73" s="7">
        <v>72</v>
      </c>
      <c r="C73" s="8" t="s">
        <v>149</v>
      </c>
      <c r="D73" s="8" t="s">
        <v>150</v>
      </c>
      <c r="E73" s="7" t="s">
        <v>36</v>
      </c>
      <c r="F73" s="7" t="s">
        <v>20</v>
      </c>
      <c r="G73" s="7"/>
      <c r="H73" s="9"/>
      <c r="I73" s="11"/>
      <c r="J73" s="9"/>
    </row>
    <row r="74" spans="1:10" ht="60">
      <c r="A74" s="7">
        <f t="shared" si="3"/>
        <v>73</v>
      </c>
      <c r="B74" s="7">
        <v>72</v>
      </c>
      <c r="C74" s="8" t="s">
        <v>151</v>
      </c>
      <c r="D74" s="8" t="s">
        <v>152</v>
      </c>
      <c r="E74" s="7" t="s">
        <v>36</v>
      </c>
      <c r="F74" s="7" t="s">
        <v>20</v>
      </c>
      <c r="G74" s="7"/>
      <c r="H74" s="9"/>
      <c r="I74" s="13"/>
      <c r="J74" s="9"/>
    </row>
    <row r="75" spans="1:10" ht="15">
      <c r="A75" s="7">
        <f t="shared" si="3"/>
        <v>74</v>
      </c>
      <c r="B75" s="7">
        <v>73</v>
      </c>
      <c r="C75" s="8" t="s">
        <v>149</v>
      </c>
      <c r="D75" s="8" t="s">
        <v>153</v>
      </c>
      <c r="E75" s="7" t="s">
        <v>36</v>
      </c>
      <c r="F75" s="7" t="s">
        <v>20</v>
      </c>
      <c r="G75" s="7"/>
      <c r="H75" s="9"/>
      <c r="I75" s="11"/>
      <c r="J75" s="9"/>
    </row>
    <row r="76" spans="1:10" ht="30">
      <c r="A76" s="7">
        <f t="shared" si="3"/>
        <v>75</v>
      </c>
      <c r="B76" s="7">
        <v>74</v>
      </c>
      <c r="C76" s="8" t="s">
        <v>154</v>
      </c>
      <c r="D76" s="8" t="s">
        <v>155</v>
      </c>
      <c r="E76" s="7" t="s">
        <v>36</v>
      </c>
      <c r="F76" s="7" t="s">
        <v>20</v>
      </c>
      <c r="G76" s="7"/>
      <c r="H76" s="9"/>
      <c r="I76" s="11"/>
      <c r="J76" s="9"/>
    </row>
    <row r="77" spans="1:10" ht="15">
      <c r="A77" s="7">
        <f t="shared" ref="A77:A91" si="4">IF(ISBLANK(B77),"",ROW()-1)</f>
        <v>76</v>
      </c>
      <c r="B77" s="7">
        <v>77</v>
      </c>
      <c r="C77" s="23" t="s">
        <v>156</v>
      </c>
      <c r="D77" s="8" t="s">
        <v>157</v>
      </c>
      <c r="E77" s="7" t="s">
        <v>36</v>
      </c>
      <c r="F77" s="7" t="s">
        <v>20</v>
      </c>
      <c r="G77" s="7"/>
      <c r="H77" s="9"/>
      <c r="I77" s="11"/>
      <c r="J77" s="9"/>
    </row>
    <row r="78" spans="1:10" ht="15">
      <c r="A78" s="7" t="str">
        <f t="shared" si="4"/>
        <v/>
      </c>
      <c r="B78" s="7"/>
      <c r="C78" s="8"/>
      <c r="D78" s="8"/>
      <c r="E78" s="7"/>
      <c r="F78" s="7"/>
      <c r="G78" s="7"/>
      <c r="H78" s="9"/>
      <c r="I78" s="11"/>
      <c r="J78" s="9"/>
    </row>
    <row r="79" spans="1:10" ht="15">
      <c r="A79" s="7" t="str">
        <f t="shared" si="4"/>
        <v/>
      </c>
      <c r="B79" s="7"/>
      <c r="C79" s="8"/>
      <c r="D79" s="8"/>
      <c r="E79" s="7"/>
      <c r="F79" s="7"/>
      <c r="G79" s="7"/>
      <c r="H79" s="9"/>
      <c r="I79" s="13"/>
      <c r="J79" s="9"/>
    </row>
    <row r="80" spans="1:10" ht="15">
      <c r="A80" s="7" t="str">
        <f t="shared" si="4"/>
        <v/>
      </c>
      <c r="B80" s="7"/>
      <c r="C80" s="8"/>
      <c r="D80" s="8"/>
      <c r="E80" s="7"/>
      <c r="F80" s="7"/>
      <c r="G80" s="7"/>
      <c r="H80" s="9"/>
      <c r="I80" s="11"/>
      <c r="J80" s="9"/>
    </row>
    <row r="81" spans="1:10" ht="15">
      <c r="A81" s="7" t="str">
        <f t="shared" si="4"/>
        <v/>
      </c>
      <c r="B81" s="7"/>
      <c r="C81" s="8"/>
      <c r="D81" s="8"/>
      <c r="E81" s="7"/>
      <c r="F81" s="7"/>
      <c r="G81" s="7"/>
      <c r="H81" s="9"/>
      <c r="I81" s="11"/>
      <c r="J81" s="9"/>
    </row>
    <row r="82" spans="1:10" ht="15">
      <c r="A82" s="7" t="str">
        <f t="shared" si="4"/>
        <v/>
      </c>
      <c r="B82" s="7"/>
      <c r="C82" s="8"/>
      <c r="D82" s="8"/>
      <c r="E82" s="7"/>
      <c r="F82" s="7"/>
      <c r="G82" s="7"/>
      <c r="H82" s="9"/>
      <c r="I82" s="11"/>
      <c r="J82" s="9"/>
    </row>
    <row r="83" spans="1:10" ht="15">
      <c r="A83" s="7" t="str">
        <f t="shared" si="4"/>
        <v/>
      </c>
      <c r="B83" s="7"/>
      <c r="C83" s="8"/>
      <c r="D83" s="8"/>
      <c r="E83" s="7"/>
      <c r="F83" s="7"/>
      <c r="G83" s="7"/>
      <c r="H83" s="9"/>
      <c r="I83" s="11"/>
      <c r="J83" s="9"/>
    </row>
    <row r="84" spans="1:10" ht="15">
      <c r="A84" s="7" t="str">
        <f t="shared" si="4"/>
        <v/>
      </c>
      <c r="B84" s="7"/>
      <c r="C84" s="8"/>
      <c r="D84" s="8"/>
      <c r="E84" s="7"/>
      <c r="F84" s="7"/>
      <c r="G84" s="7"/>
      <c r="H84" s="9"/>
      <c r="I84" s="13"/>
      <c r="J84" s="9"/>
    </row>
    <row r="85" spans="1:10" ht="15">
      <c r="A85" s="7" t="str">
        <f t="shared" si="4"/>
        <v/>
      </c>
      <c r="B85" s="7"/>
      <c r="C85" s="8"/>
      <c r="D85" s="8"/>
      <c r="E85" s="7"/>
      <c r="F85" s="7"/>
      <c r="G85" s="7"/>
      <c r="H85" s="9"/>
      <c r="I85" s="11"/>
      <c r="J85" s="9"/>
    </row>
    <row r="86" spans="1:10" ht="15">
      <c r="A86" s="7" t="str">
        <f t="shared" si="4"/>
        <v/>
      </c>
      <c r="B86" s="7"/>
      <c r="C86" s="8"/>
      <c r="D86" s="8"/>
      <c r="E86" s="7"/>
      <c r="F86" s="7"/>
      <c r="G86" s="7"/>
      <c r="H86" s="9"/>
      <c r="I86" s="11"/>
      <c r="J86" s="9"/>
    </row>
    <row r="87" spans="1:10" ht="15">
      <c r="A87" s="7" t="str">
        <f t="shared" si="4"/>
        <v/>
      </c>
      <c r="B87" s="7"/>
      <c r="C87" s="8"/>
      <c r="D87" s="8"/>
      <c r="E87" s="7"/>
      <c r="F87" s="7"/>
      <c r="G87" s="7"/>
      <c r="H87" s="9"/>
      <c r="I87" s="11"/>
      <c r="J87" s="9"/>
    </row>
    <row r="88" spans="1:10" ht="15">
      <c r="A88" s="7" t="str">
        <f t="shared" si="4"/>
        <v/>
      </c>
      <c r="B88" s="7"/>
      <c r="C88" s="8"/>
      <c r="D88" s="8"/>
      <c r="E88" s="7"/>
      <c r="F88" s="7"/>
      <c r="G88" s="7"/>
      <c r="H88" s="9"/>
      <c r="I88" s="11"/>
      <c r="J88" s="9"/>
    </row>
    <row r="89" spans="1:10" ht="15">
      <c r="A89" s="7" t="str">
        <f t="shared" si="4"/>
        <v/>
      </c>
      <c r="B89" s="7"/>
      <c r="C89" s="8"/>
      <c r="D89" s="8"/>
      <c r="E89" s="7"/>
      <c r="F89" s="7"/>
      <c r="G89" s="7"/>
      <c r="H89" s="9"/>
      <c r="I89" s="13"/>
      <c r="J89" s="9"/>
    </row>
    <row r="90" spans="1:10" ht="15">
      <c r="A90" s="7" t="str">
        <f t="shared" si="4"/>
        <v/>
      </c>
      <c r="B90" s="7"/>
      <c r="C90" s="8"/>
      <c r="D90" s="8"/>
      <c r="E90" s="7"/>
      <c r="F90" s="7"/>
      <c r="G90" s="7"/>
      <c r="H90" s="9"/>
      <c r="I90" s="11"/>
      <c r="J90" s="9"/>
    </row>
    <row r="91" spans="1:10" ht="15">
      <c r="A91" s="7" t="str">
        <f t="shared" si="4"/>
        <v/>
      </c>
      <c r="B91" s="7"/>
      <c r="C91" s="8"/>
      <c r="D91" s="8"/>
      <c r="E91" s="7"/>
      <c r="F91" s="7"/>
      <c r="G91" s="7"/>
      <c r="H91" s="9"/>
      <c r="I91" s="11"/>
      <c r="J91" s="9"/>
    </row>
    <row r="92" spans="1:10" ht="15">
      <c r="A92" s="7" t="str">
        <f t="shared" ref="A92:A112" si="5">IF(ISBLANK(B92),"",ROW()-1)</f>
        <v/>
      </c>
      <c r="B92" s="7"/>
      <c r="C92" s="8"/>
      <c r="D92" s="8"/>
      <c r="E92" s="7"/>
      <c r="F92" s="7"/>
      <c r="G92" s="7"/>
      <c r="H92" s="9"/>
      <c r="I92" s="11"/>
      <c r="J92" s="9"/>
    </row>
    <row r="93" spans="1:10" ht="15">
      <c r="A93" s="7" t="str">
        <f t="shared" si="5"/>
        <v/>
      </c>
      <c r="B93" s="7"/>
      <c r="C93" s="8"/>
      <c r="D93" s="8"/>
      <c r="E93" s="7"/>
      <c r="F93" s="7"/>
      <c r="G93" s="7"/>
      <c r="H93" s="9"/>
      <c r="I93" s="11"/>
      <c r="J93" s="9"/>
    </row>
    <row r="94" spans="1:10" ht="15">
      <c r="A94" s="7" t="str">
        <f t="shared" si="5"/>
        <v/>
      </c>
      <c r="B94" s="7"/>
      <c r="C94" s="8"/>
      <c r="D94" s="8"/>
      <c r="E94" s="7"/>
      <c r="F94" s="7"/>
      <c r="G94" s="7"/>
      <c r="H94" s="9"/>
      <c r="I94" s="13"/>
      <c r="J94" s="9"/>
    </row>
    <row r="95" spans="1:10" ht="15">
      <c r="A95" s="7" t="str">
        <f t="shared" si="5"/>
        <v/>
      </c>
      <c r="B95" s="7"/>
      <c r="C95" s="8"/>
      <c r="D95" s="8"/>
      <c r="E95" s="7"/>
      <c r="F95" s="7"/>
      <c r="G95" s="7"/>
      <c r="H95" s="9"/>
      <c r="I95" s="11"/>
      <c r="J95" s="9"/>
    </row>
    <row r="96" spans="1:10" ht="15">
      <c r="A96" s="7" t="str">
        <f t="shared" si="5"/>
        <v/>
      </c>
      <c r="B96" s="7"/>
      <c r="C96" s="8"/>
      <c r="D96" s="8"/>
      <c r="E96" s="7"/>
      <c r="F96" s="7"/>
      <c r="G96" s="7"/>
      <c r="H96" s="9"/>
      <c r="I96" s="11"/>
      <c r="J96" s="9"/>
    </row>
    <row r="97" spans="1:10" ht="15">
      <c r="A97" s="7" t="str">
        <f t="shared" si="5"/>
        <v/>
      </c>
      <c r="B97" s="7"/>
      <c r="C97" s="8"/>
      <c r="D97" s="8"/>
      <c r="E97" s="7"/>
      <c r="F97" s="7"/>
      <c r="G97" s="7"/>
      <c r="H97" s="9"/>
      <c r="I97" s="11"/>
      <c r="J97" s="9"/>
    </row>
    <row r="98" spans="1:10" ht="15">
      <c r="A98" s="7" t="str">
        <f t="shared" si="5"/>
        <v/>
      </c>
      <c r="B98" s="7"/>
      <c r="C98" s="8"/>
      <c r="D98" s="8"/>
      <c r="E98" s="7"/>
      <c r="F98" s="7"/>
      <c r="G98" s="7"/>
      <c r="H98" s="9"/>
      <c r="I98" s="11"/>
      <c r="J98" s="9"/>
    </row>
    <row r="99" spans="1:10" ht="15">
      <c r="A99" s="7" t="str">
        <f t="shared" si="5"/>
        <v/>
      </c>
      <c r="B99" s="7"/>
      <c r="C99" s="8"/>
      <c r="D99" s="8"/>
      <c r="E99" s="7"/>
      <c r="F99" s="7"/>
      <c r="G99" s="7"/>
      <c r="H99" s="9"/>
      <c r="I99" s="13"/>
      <c r="J99" s="9"/>
    </row>
    <row r="100" spans="1:10" ht="15">
      <c r="A100" s="7" t="str">
        <f t="shared" si="5"/>
        <v/>
      </c>
      <c r="B100" s="7"/>
      <c r="C100" s="8"/>
      <c r="D100" s="8"/>
      <c r="E100" s="7"/>
      <c r="F100" s="7"/>
      <c r="G100" s="7"/>
      <c r="H100" s="9"/>
      <c r="I100" s="11"/>
      <c r="J100" s="9"/>
    </row>
    <row r="101" spans="1:10" ht="15">
      <c r="A101" s="7" t="str">
        <f t="shared" si="5"/>
        <v/>
      </c>
      <c r="B101" s="7"/>
      <c r="C101" s="8"/>
      <c r="D101" s="8"/>
      <c r="E101" s="7"/>
      <c r="F101" s="7"/>
      <c r="G101" s="7"/>
      <c r="H101" s="9"/>
      <c r="I101" s="11"/>
      <c r="J101" s="9"/>
    </row>
    <row r="102" spans="1:10" ht="15">
      <c r="A102" s="7" t="str">
        <f t="shared" si="5"/>
        <v/>
      </c>
      <c r="B102" s="7"/>
      <c r="C102" s="8"/>
      <c r="D102" s="8"/>
      <c r="E102" s="7"/>
      <c r="F102" s="7"/>
      <c r="G102" s="7"/>
      <c r="H102" s="9"/>
      <c r="I102" s="11"/>
      <c r="J102" s="9"/>
    </row>
    <row r="103" spans="1:10" ht="15">
      <c r="A103" s="7" t="str">
        <f t="shared" si="5"/>
        <v/>
      </c>
      <c r="B103" s="7"/>
      <c r="C103" s="8"/>
      <c r="D103" s="8"/>
      <c r="E103" s="7"/>
      <c r="F103" s="7"/>
      <c r="G103" s="7"/>
      <c r="H103" s="9"/>
      <c r="I103" s="11"/>
      <c r="J103" s="9"/>
    </row>
    <row r="104" spans="1:10" ht="15">
      <c r="A104" s="7" t="str">
        <f t="shared" si="5"/>
        <v/>
      </c>
      <c r="B104" s="7"/>
      <c r="C104" s="8"/>
      <c r="D104" s="8"/>
      <c r="E104" s="7"/>
      <c r="F104" s="7"/>
      <c r="G104" s="7"/>
      <c r="H104" s="9"/>
      <c r="I104" s="13"/>
      <c r="J104" s="9"/>
    </row>
    <row r="105" spans="1:10" ht="15">
      <c r="A105" s="7" t="str">
        <f t="shared" si="5"/>
        <v/>
      </c>
      <c r="B105" s="7"/>
      <c r="C105" s="8"/>
      <c r="D105" s="8"/>
      <c r="E105" s="7"/>
      <c r="F105" s="7"/>
      <c r="G105" s="7"/>
      <c r="H105" s="9"/>
      <c r="I105" s="11"/>
      <c r="J105" s="9"/>
    </row>
    <row r="106" spans="1:10" ht="15">
      <c r="A106" s="7" t="str">
        <f t="shared" si="5"/>
        <v/>
      </c>
      <c r="B106" s="7"/>
      <c r="C106" s="8"/>
      <c r="D106" s="8"/>
      <c r="E106" s="7"/>
      <c r="F106" s="7"/>
      <c r="G106" s="7"/>
      <c r="H106" s="9"/>
      <c r="I106" s="11"/>
      <c r="J106" s="9"/>
    </row>
    <row r="107" spans="1:10" ht="15">
      <c r="A107" s="7" t="str">
        <f t="shared" si="5"/>
        <v/>
      </c>
      <c r="B107" s="7"/>
      <c r="C107" s="8"/>
      <c r="D107" s="8"/>
      <c r="E107" s="7"/>
      <c r="F107" s="7"/>
      <c r="G107" s="7"/>
      <c r="H107" s="9"/>
      <c r="I107" s="11"/>
      <c r="J107" s="9"/>
    </row>
    <row r="108" spans="1:10" ht="15">
      <c r="A108" s="7" t="str">
        <f t="shared" si="5"/>
        <v/>
      </c>
      <c r="B108" s="7"/>
      <c r="C108" s="8"/>
      <c r="D108" s="8"/>
      <c r="E108" s="7"/>
      <c r="F108" s="7"/>
      <c r="G108" s="7"/>
      <c r="H108" s="9"/>
      <c r="I108" s="11"/>
      <c r="J108" s="9"/>
    </row>
    <row r="109" spans="1:10" ht="15">
      <c r="A109" s="7" t="str">
        <f t="shared" si="5"/>
        <v/>
      </c>
      <c r="B109" s="7"/>
      <c r="C109" s="8"/>
      <c r="D109" s="8"/>
      <c r="E109" s="7"/>
      <c r="F109" s="7"/>
      <c r="G109" s="7"/>
      <c r="H109" s="9"/>
      <c r="I109" s="13"/>
      <c r="J109" s="9"/>
    </row>
    <row r="110" spans="1:10" ht="15">
      <c r="A110" s="7" t="str">
        <f t="shared" si="5"/>
        <v/>
      </c>
      <c r="B110" s="7"/>
      <c r="C110" s="8"/>
      <c r="D110" s="8"/>
      <c r="E110" s="7"/>
      <c r="F110" s="7"/>
      <c r="G110" s="7"/>
      <c r="H110" s="9"/>
      <c r="I110" s="11"/>
      <c r="J110" s="9"/>
    </row>
    <row r="111" spans="1:10" ht="15">
      <c r="A111" s="7" t="str">
        <f t="shared" si="5"/>
        <v/>
      </c>
      <c r="B111" s="7"/>
      <c r="C111" s="8"/>
      <c r="D111" s="8"/>
      <c r="E111" s="7"/>
      <c r="F111" s="7"/>
      <c r="G111" s="7"/>
      <c r="H111" s="9"/>
      <c r="I111" s="11"/>
      <c r="J111" s="9"/>
    </row>
    <row r="112" spans="1:10" ht="15">
      <c r="A112" s="7" t="str">
        <f t="shared" si="5"/>
        <v/>
      </c>
      <c r="B112" s="7"/>
      <c r="C112" s="8"/>
      <c r="D112" s="8"/>
      <c r="E112" s="7"/>
      <c r="F112" s="7"/>
      <c r="G112" s="7"/>
      <c r="H112" s="9"/>
      <c r="I112" s="11"/>
      <c r="J112" s="9"/>
    </row>
  </sheetData>
  <phoneticPr fontId="9"/>
  <dataValidations count="2">
    <dataValidation type="list" allowBlank="1" showInputMessage="1" showErrorMessage="1" sqref="E2:E112" xr:uid="{00000000-0002-0000-0000-000000000000}">
      <formula1>"A, B, C"</formula1>
    </dataValidation>
    <dataValidation type="list" allowBlank="1" showInputMessage="1" showErrorMessage="1" sqref="F2:F112" xr:uid="{00000000-0002-0000-0000-000001000000}">
      <formula1>"F, I"</formula1>
    </dataValidation>
  </dataValidations>
  <pageMargins left="0.7" right="0.7" top="0.75" bottom="0.75" header="0.3" footer="0.3"/>
  <pageSetup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37CF7A5C2F2564283709725F94A1B69" ma:contentTypeVersion="13" ma:contentTypeDescription="新しいドキュメントを作成します。" ma:contentTypeScope="" ma:versionID="52a83519eeae64446d004370cdfefcb6">
  <xsd:schema xmlns:xsd="http://www.w3.org/2001/XMLSchema" xmlns:xs="http://www.w3.org/2001/XMLSchema" xmlns:p="http://schemas.microsoft.com/office/2006/metadata/properties" xmlns:ns2="d6370d29-1381-44da-ac86-71d62ff19830" xmlns:ns3="542fa799-3a6a-44ee-91d8-41e55fd610c2" targetNamespace="http://schemas.microsoft.com/office/2006/metadata/properties" ma:root="true" ma:fieldsID="f0a4801b459899d4d9384096ec41d4cb" ns2:_="" ns3:_="">
    <xsd:import namespace="d6370d29-1381-44da-ac86-71d62ff19830"/>
    <xsd:import namespace="542fa799-3a6a-44ee-91d8-41e55fd610c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370d29-1381-44da-ac86-71d62ff198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57a0c6ad-ee8b-40fb-82c2-5c02f3796a8f"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42fa799-3a6a-44ee-91d8-41e55fd610c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bcfc77fd-f0c3-469f-8a59-0493dcede4a0}" ma:internalName="TaxCatchAll" ma:showField="CatchAllData" ma:web="542fa799-3a6a-44ee-91d8-41e55fd610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6370d29-1381-44da-ac86-71d62ff19830">
      <Terms xmlns="http://schemas.microsoft.com/office/infopath/2007/PartnerControls"/>
    </lcf76f155ced4ddcb4097134ff3c332f>
    <TaxCatchAll xmlns="542fa799-3a6a-44ee-91d8-41e55fd610c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6CA4BBD-1289-444A-82CC-7BBD4BE61C4C}"/>
</file>

<file path=customXml/itemProps2.xml><?xml version="1.0" encoding="utf-8"?>
<ds:datastoreItem xmlns:ds="http://schemas.openxmlformats.org/officeDocument/2006/customXml" ds:itemID="{6AA80022-DDD9-4392-BFAC-6908A33161F5}"/>
</file>

<file path=customXml/itemProps3.xml><?xml version="1.0" encoding="utf-8"?>
<ds:datastoreItem xmlns:ds="http://schemas.openxmlformats.org/officeDocument/2006/customXml" ds:itemID="{67AB52BF-5C3F-4E32-B1C7-8176B1AD72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Matsunaga Toshihiro</dc:creator>
  <cp:keywords/>
  <dc:description/>
  <cp:lastModifiedBy/>
  <cp:revision/>
  <dcterms:created xsi:type="dcterms:W3CDTF">2025-11-19T00:11:00Z</dcterms:created>
  <dcterms:modified xsi:type="dcterms:W3CDTF">2026-04-10T11:29:02Z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FD2CD2C4E7C1414B9C827D95B31D9A5A_13</vt:lpwstr>
  </property>
  <property fmtid="{D5CDD505-2E9C-101B-9397-08002B2CF9AE}" pid="3" name="KSOProductBuildVer">
    <vt:lpwstr>1033-12.2.0.23196</vt:lpwstr>
  </property>
  <property fmtid="{D5CDD505-2E9C-101B-9397-08002B2CF9AE}" pid="4" name="MSIP_Label_1ab519c6-9f13-416b-ad6c-a79673c31c3f_Enabled">
    <vt:lpwstr>true</vt:lpwstr>
  </property>
  <property fmtid="{D5CDD505-2E9C-101B-9397-08002B2CF9AE}" pid="5" name="MSIP_Label_1ab519c6-9f13-416b-ad6c-a79673c31c3f_SetDate">
    <vt:lpwstr>2025-11-27T11:51:38Z</vt:lpwstr>
  </property>
  <property fmtid="{D5CDD505-2E9C-101B-9397-08002B2CF9AE}" pid="6" name="MSIP_Label_1ab519c6-9f13-416b-ad6c-a79673c31c3f_Method">
    <vt:lpwstr>Privileged</vt:lpwstr>
  </property>
  <property fmtid="{D5CDD505-2E9C-101B-9397-08002B2CF9AE}" pid="7" name="MSIP_Label_1ab519c6-9f13-416b-ad6c-a79673c31c3f_Name">
    <vt:lpwstr>Company Confidential External Use</vt:lpwstr>
  </property>
  <property fmtid="{D5CDD505-2E9C-101B-9397-08002B2CF9AE}" pid="8" name="MSIP_Label_1ab519c6-9f13-416b-ad6c-a79673c31c3f_SiteId">
    <vt:lpwstr>edf442f5-b994-4c86-a131-b42b03a16c95</vt:lpwstr>
  </property>
  <property fmtid="{D5CDD505-2E9C-101B-9397-08002B2CF9AE}" pid="9" name="MSIP_Label_1ab519c6-9f13-416b-ad6c-a79673c31c3f_ActionId">
    <vt:lpwstr>6a51efef-f80a-46a8-8ba6-d36e3b17e705</vt:lpwstr>
  </property>
  <property fmtid="{D5CDD505-2E9C-101B-9397-08002B2CF9AE}" pid="10" name="MSIP_Label_1ab519c6-9f13-416b-ad6c-a79673c31c3f_ContentBits">
    <vt:lpwstr>0</vt:lpwstr>
  </property>
  <property fmtid="{D5CDD505-2E9C-101B-9397-08002B2CF9AE}" pid="11" name="MSIP_Label_1ab519c6-9f13-416b-ad6c-a79673c31c3f_Tag">
    <vt:lpwstr>10, 0, 1, 1</vt:lpwstr>
  </property>
  <property fmtid="{D5CDD505-2E9C-101B-9397-08002B2CF9AE}" pid="12" name="ContentTypeId">
    <vt:lpwstr>0x010100837CF7A5C2F2564283709725F94A1B69</vt:lpwstr>
  </property>
  <property fmtid="{D5CDD505-2E9C-101B-9397-08002B2CF9AE}" pid="13" name="MediaServiceImageTags">
    <vt:lpwstr/>
  </property>
</Properties>
</file>